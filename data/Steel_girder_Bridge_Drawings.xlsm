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Steel Girder AutoCAD\"/>
    </mc:Choice>
  </mc:AlternateContent>
  <xr:revisionPtr revIDLastSave="0" documentId="8_{0842B2F7-5C71-4BF4-ADED-951999D0A2D9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Steel_Superstructure_IFC" sheetId="1" r:id="rId1"/>
    <sheet name="Automation_Steel_Superstructure" sheetId="7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2" i="7" l="1"/>
  <c r="U34" i="7"/>
  <c r="C90" i="7"/>
  <c r="C89" i="7"/>
  <c r="C88" i="7"/>
  <c r="B90" i="7"/>
  <c r="B89" i="7"/>
  <c r="K188" i="7"/>
  <c r="I186" i="7"/>
  <c r="K186" i="7"/>
  <c r="L186" i="7"/>
  <c r="I187" i="7"/>
  <c r="K187" i="7"/>
  <c r="L187" i="7"/>
  <c r="I190" i="7"/>
  <c r="K190" i="7"/>
  <c r="L190" i="7"/>
  <c r="K185" i="7"/>
  <c r="L185" i="7"/>
  <c r="I185" i="7"/>
  <c r="C41" i="7"/>
  <c r="C40" i="7"/>
  <c r="J147" i="7" s="1"/>
  <c r="C23" i="7"/>
  <c r="C22" i="7"/>
  <c r="C62" i="7"/>
  <c r="J31" i="7" s="1"/>
  <c r="J110" i="7" s="1"/>
  <c r="C58" i="7"/>
  <c r="J27" i="7" s="1"/>
  <c r="J106" i="7" s="1"/>
  <c r="J35" i="7"/>
  <c r="L23" i="7"/>
  <c r="K23" i="7"/>
  <c r="K93" i="7" s="1"/>
  <c r="I23" i="7"/>
  <c r="I93" i="7" s="1"/>
  <c r="P98" i="7"/>
  <c r="L175" i="7"/>
  <c r="L176" i="7"/>
  <c r="L177" i="7"/>
  <c r="L178" i="7"/>
  <c r="I167" i="7"/>
  <c r="L167" i="7"/>
  <c r="I168" i="7"/>
  <c r="K168" i="7"/>
  <c r="L168" i="7"/>
  <c r="I169" i="7"/>
  <c r="K169" i="7"/>
  <c r="L169" i="7"/>
  <c r="I170" i="7"/>
  <c r="L170" i="7"/>
  <c r="I172" i="7"/>
  <c r="I173" i="7"/>
  <c r="K173" i="7"/>
  <c r="L173" i="7"/>
  <c r="I174" i="7"/>
  <c r="I175" i="7"/>
  <c r="K175" i="7"/>
  <c r="I176" i="7"/>
  <c r="K176" i="7"/>
  <c r="I177" i="7"/>
  <c r="K177" i="7"/>
  <c r="I178" i="7"/>
  <c r="I180" i="7"/>
  <c r="I181" i="7"/>
  <c r="K181" i="7"/>
  <c r="L181" i="7"/>
  <c r="I182" i="7"/>
  <c r="K182" i="7"/>
  <c r="L182" i="7"/>
  <c r="I184" i="7"/>
  <c r="I166" i="7"/>
  <c r="C87" i="7"/>
  <c r="C86" i="7"/>
  <c r="C85" i="7"/>
  <c r="C82" i="7"/>
  <c r="J182" i="7" s="1"/>
  <c r="C81" i="7"/>
  <c r="J181" i="7" s="1"/>
  <c r="C78" i="7"/>
  <c r="J178" i="7" s="1"/>
  <c r="C77" i="7"/>
  <c r="J177" i="7" s="1"/>
  <c r="C74" i="7"/>
  <c r="J174" i="7" s="1"/>
  <c r="C73" i="7"/>
  <c r="J173" i="7" s="1"/>
  <c r="C70" i="7"/>
  <c r="J170" i="7" s="1"/>
  <c r="C69" i="7"/>
  <c r="J169" i="7" s="1"/>
  <c r="C68" i="7"/>
  <c r="J168" i="7" s="1"/>
  <c r="C67" i="7"/>
  <c r="J167" i="7" s="1"/>
  <c r="I155" i="7"/>
  <c r="K155" i="7"/>
  <c r="L155" i="7"/>
  <c r="I156" i="7"/>
  <c r="K156" i="7"/>
  <c r="L156" i="7"/>
  <c r="I157" i="7"/>
  <c r="K157" i="7"/>
  <c r="L157" i="7"/>
  <c r="I158" i="7"/>
  <c r="I159" i="7"/>
  <c r="K159" i="7"/>
  <c r="L159" i="7"/>
  <c r="I160" i="7"/>
  <c r="K160" i="7"/>
  <c r="L160" i="7"/>
  <c r="I161" i="7"/>
  <c r="K161" i="7"/>
  <c r="L161" i="7"/>
  <c r="I154" i="7"/>
  <c r="K14" i="7"/>
  <c r="K84" i="7" s="1"/>
  <c r="L14" i="7"/>
  <c r="L84" i="7" s="1"/>
  <c r="K15" i="7"/>
  <c r="L15" i="7"/>
  <c r="L85" i="7" s="1"/>
  <c r="L13" i="7"/>
  <c r="L83" i="7" s="1"/>
  <c r="I14" i="7"/>
  <c r="I84" i="7" s="1"/>
  <c r="I15" i="7"/>
  <c r="I85" i="7" s="1"/>
  <c r="I13" i="7"/>
  <c r="I83" i="7" s="1"/>
  <c r="K129" i="7"/>
  <c r="L129" i="7"/>
  <c r="K130" i="7"/>
  <c r="L130" i="7"/>
  <c r="K133" i="7"/>
  <c r="L133" i="7"/>
  <c r="K134" i="7"/>
  <c r="L134" i="7"/>
  <c r="K138" i="7"/>
  <c r="L138" i="7"/>
  <c r="K139" i="7"/>
  <c r="L139" i="7"/>
  <c r="K142" i="7"/>
  <c r="L142" i="7"/>
  <c r="K143" i="7"/>
  <c r="L143" i="7"/>
  <c r="K147" i="7"/>
  <c r="L147" i="7"/>
  <c r="K148" i="7"/>
  <c r="L148" i="7"/>
  <c r="K151" i="7"/>
  <c r="L151" i="7"/>
  <c r="K152" i="7"/>
  <c r="L152" i="7"/>
  <c r="I129" i="7"/>
  <c r="I130" i="7"/>
  <c r="I133" i="7"/>
  <c r="I134" i="7"/>
  <c r="I136" i="7"/>
  <c r="I138" i="7"/>
  <c r="I139" i="7"/>
  <c r="I142" i="7"/>
  <c r="I143" i="7"/>
  <c r="I145" i="7"/>
  <c r="I147" i="7"/>
  <c r="I148" i="7"/>
  <c r="I151" i="7"/>
  <c r="I152" i="7"/>
  <c r="I127" i="7"/>
  <c r="K96" i="7"/>
  <c r="L96" i="7"/>
  <c r="K97" i="7"/>
  <c r="L97" i="7"/>
  <c r="K100" i="7"/>
  <c r="L100" i="7"/>
  <c r="I96" i="7"/>
  <c r="I97" i="7"/>
  <c r="P97" i="7" s="1"/>
  <c r="P99" i="7"/>
  <c r="I100" i="7"/>
  <c r="P100" i="7" s="1"/>
  <c r="P101" i="7"/>
  <c r="I94" i="7"/>
  <c r="I120" i="7"/>
  <c r="K120" i="7"/>
  <c r="L120" i="7"/>
  <c r="I121" i="7"/>
  <c r="K121" i="7"/>
  <c r="L121" i="7"/>
  <c r="I122" i="7"/>
  <c r="K122" i="7"/>
  <c r="L122" i="7"/>
  <c r="I123" i="7"/>
  <c r="K123" i="7"/>
  <c r="L123" i="7"/>
  <c r="I124" i="7"/>
  <c r="K124" i="7"/>
  <c r="L124" i="7"/>
  <c r="I125" i="7"/>
  <c r="K125" i="7"/>
  <c r="L125" i="7"/>
  <c r="I119" i="7"/>
  <c r="I115" i="7"/>
  <c r="I116" i="7"/>
  <c r="K116" i="7"/>
  <c r="L116" i="7"/>
  <c r="I117" i="7"/>
  <c r="K117" i="7"/>
  <c r="L117" i="7"/>
  <c r="L114" i="7"/>
  <c r="I114" i="7"/>
  <c r="I87" i="7"/>
  <c r="I64" i="7"/>
  <c r="K64" i="7"/>
  <c r="L64" i="7"/>
  <c r="I65" i="7"/>
  <c r="K65" i="7"/>
  <c r="L65" i="7"/>
  <c r="I66" i="7"/>
  <c r="K66" i="7"/>
  <c r="L66" i="7"/>
  <c r="I67" i="7"/>
  <c r="I68" i="7"/>
  <c r="K68" i="7"/>
  <c r="L68" i="7"/>
  <c r="I69" i="7"/>
  <c r="K69" i="7"/>
  <c r="L69" i="7"/>
  <c r="I70" i="7"/>
  <c r="K70" i="7"/>
  <c r="L70" i="7"/>
  <c r="I63" i="7"/>
  <c r="I56" i="7"/>
  <c r="K56" i="7"/>
  <c r="L56" i="7"/>
  <c r="I57" i="7"/>
  <c r="K57" i="7"/>
  <c r="L57" i="7"/>
  <c r="I58" i="7"/>
  <c r="K58" i="7"/>
  <c r="L58" i="7"/>
  <c r="I59" i="7"/>
  <c r="K59" i="7"/>
  <c r="L59" i="7"/>
  <c r="I60" i="7"/>
  <c r="K60" i="7"/>
  <c r="L60" i="7"/>
  <c r="I61" i="7"/>
  <c r="K61" i="7"/>
  <c r="L61" i="7"/>
  <c r="I55" i="7"/>
  <c r="I40" i="7"/>
  <c r="I41" i="7"/>
  <c r="K41" i="7"/>
  <c r="L41" i="7"/>
  <c r="I42" i="7"/>
  <c r="K42" i="7"/>
  <c r="L42" i="7"/>
  <c r="I43" i="7"/>
  <c r="K43" i="7"/>
  <c r="L43" i="7"/>
  <c r="I44" i="7"/>
  <c r="K44" i="7"/>
  <c r="L44" i="7"/>
  <c r="I45" i="7"/>
  <c r="K45" i="7"/>
  <c r="L45" i="7"/>
  <c r="I47" i="7"/>
  <c r="I48" i="7"/>
  <c r="K48" i="7"/>
  <c r="L48" i="7"/>
  <c r="I49" i="7"/>
  <c r="L49" i="7"/>
  <c r="I50" i="7"/>
  <c r="L50" i="7"/>
  <c r="I51" i="7"/>
  <c r="L51" i="7"/>
  <c r="I52" i="7"/>
  <c r="K52" i="7"/>
  <c r="L52" i="7"/>
  <c r="I53" i="7"/>
  <c r="K53" i="7"/>
  <c r="L53" i="7"/>
  <c r="I54" i="7"/>
  <c r="J54" i="7"/>
  <c r="K54" i="7"/>
  <c r="L54" i="7"/>
  <c r="L39" i="7"/>
  <c r="I39" i="7"/>
  <c r="K13" i="7"/>
  <c r="K83" i="7" s="1"/>
  <c r="K85" i="7"/>
  <c r="I24" i="7"/>
  <c r="I103" i="7" s="1"/>
  <c r="K25" i="7"/>
  <c r="K104" i="7" s="1"/>
  <c r="L25" i="7"/>
  <c r="L104" i="7" s="1"/>
  <c r="K26" i="7"/>
  <c r="K105" i="7" s="1"/>
  <c r="L26" i="7"/>
  <c r="L105" i="7" s="1"/>
  <c r="K27" i="7"/>
  <c r="K106" i="7" s="1"/>
  <c r="L27" i="7"/>
  <c r="L106" i="7" s="1"/>
  <c r="K29" i="7"/>
  <c r="K108" i="7" s="1"/>
  <c r="L29" i="7"/>
  <c r="L108" i="7" s="1"/>
  <c r="K30" i="7"/>
  <c r="K109" i="7" s="1"/>
  <c r="L30" i="7"/>
  <c r="L109" i="7" s="1"/>
  <c r="K31" i="7"/>
  <c r="K110" i="7" s="1"/>
  <c r="L31" i="7"/>
  <c r="L110" i="7" s="1"/>
  <c r="I25" i="7"/>
  <c r="I104" i="7" s="1"/>
  <c r="I26" i="7"/>
  <c r="I105" i="7" s="1"/>
  <c r="I27" i="7"/>
  <c r="I106" i="7" s="1"/>
  <c r="I28" i="7"/>
  <c r="I107" i="7" s="1"/>
  <c r="I29" i="7"/>
  <c r="I108" i="7" s="1"/>
  <c r="I30" i="7"/>
  <c r="I109" i="7" s="1"/>
  <c r="I31" i="7"/>
  <c r="I110" i="7" s="1"/>
  <c r="K12" i="7"/>
  <c r="K82" i="7" s="1"/>
  <c r="L12" i="7"/>
  <c r="L82" i="7" s="1"/>
  <c r="I12" i="7"/>
  <c r="I82" i="7" s="1"/>
  <c r="I11" i="7"/>
  <c r="I81" i="7" s="1"/>
  <c r="I19" i="7"/>
  <c r="I89" i="7" s="1"/>
  <c r="K19" i="7"/>
  <c r="K89" i="7" s="1"/>
  <c r="L19" i="7"/>
  <c r="I20" i="7"/>
  <c r="I90" i="7" s="1"/>
  <c r="K20" i="7"/>
  <c r="K90" i="7" s="1"/>
  <c r="L20" i="7"/>
  <c r="I21" i="7"/>
  <c r="I91" i="7" s="1"/>
  <c r="K21" i="7"/>
  <c r="K91" i="7" s="1"/>
  <c r="L21" i="7"/>
  <c r="I22" i="7"/>
  <c r="I92" i="7" s="1"/>
  <c r="K22" i="7"/>
  <c r="K92" i="7" s="1"/>
  <c r="L22" i="7"/>
  <c r="K18" i="7"/>
  <c r="K88" i="7" s="1"/>
  <c r="L18" i="7"/>
  <c r="I18" i="7"/>
  <c r="I88" i="7" s="1"/>
  <c r="I17" i="7"/>
  <c r="I5" i="7"/>
  <c r="I75" i="7" s="1"/>
  <c r="K5" i="7"/>
  <c r="K75" i="7" s="1"/>
  <c r="L5" i="7"/>
  <c r="L75" i="7" s="1"/>
  <c r="I6" i="7"/>
  <c r="I76" i="7" s="1"/>
  <c r="K6" i="7"/>
  <c r="K76" i="7" s="1"/>
  <c r="L6" i="7"/>
  <c r="L76" i="7" s="1"/>
  <c r="I7" i="7"/>
  <c r="I77" i="7" s="1"/>
  <c r="K7" i="7"/>
  <c r="K77" i="7" s="1"/>
  <c r="L7" i="7"/>
  <c r="L77" i="7" s="1"/>
  <c r="I8" i="7"/>
  <c r="I78" i="7" s="1"/>
  <c r="K8" i="7"/>
  <c r="K78" i="7" s="1"/>
  <c r="L8" i="7"/>
  <c r="L78" i="7" s="1"/>
  <c r="I9" i="7"/>
  <c r="I79" i="7" s="1"/>
  <c r="K9" i="7"/>
  <c r="K79" i="7" s="1"/>
  <c r="L9" i="7"/>
  <c r="L79" i="7" s="1"/>
  <c r="I3" i="7"/>
  <c r="I73" i="7" s="1"/>
  <c r="I4" i="7"/>
  <c r="I74" i="7" s="1"/>
  <c r="L3" i="7"/>
  <c r="L73" i="7" s="1"/>
  <c r="C15" i="7"/>
  <c r="J12" i="7" s="1"/>
  <c r="J82" i="7" s="1"/>
  <c r="C60" i="7"/>
  <c r="J29" i="7" s="1"/>
  <c r="J108" i="7" s="1"/>
  <c r="C13" i="7"/>
  <c r="C14" i="7"/>
  <c r="J121" i="7" s="1"/>
  <c r="C36" i="7"/>
  <c r="J143" i="7" s="1"/>
  <c r="C27" i="7"/>
  <c r="C7" i="7"/>
  <c r="J7" i="7" s="1"/>
  <c r="J77" i="7" s="1"/>
  <c r="C61" i="7"/>
  <c r="J30" i="7" s="1"/>
  <c r="J109" i="7" s="1"/>
  <c r="C56" i="7"/>
  <c r="J25" i="7" s="1"/>
  <c r="J104" i="7" s="1"/>
  <c r="C57" i="7"/>
  <c r="J26" i="7" s="1"/>
  <c r="J105" i="7" s="1"/>
  <c r="C39" i="7"/>
  <c r="C48" i="7"/>
  <c r="C5" i="7"/>
  <c r="J5" i="7" s="1"/>
  <c r="J75" i="7" s="1"/>
  <c r="C53" i="7"/>
  <c r="J100" i="7" s="1"/>
  <c r="C52" i="7"/>
  <c r="C51" i="7"/>
  <c r="C50" i="7"/>
  <c r="J97" i="7" s="1"/>
  <c r="C49" i="7"/>
  <c r="J96" i="7" s="1"/>
  <c r="C45" i="7"/>
  <c r="C44" i="7"/>
  <c r="J151" i="7" s="1"/>
  <c r="C43" i="7"/>
  <c r="C42" i="7"/>
  <c r="C30" i="7"/>
  <c r="J56" i="7" s="1"/>
  <c r="C35" i="7"/>
  <c r="J61" i="7" s="1"/>
  <c r="C34" i="7"/>
  <c r="J60" i="7" s="1"/>
  <c r="C33" i="7"/>
  <c r="J59" i="7" s="1"/>
  <c r="C32" i="7"/>
  <c r="J58" i="7" s="1"/>
  <c r="C31" i="7"/>
  <c r="J57" i="7" s="1"/>
  <c r="C21" i="7"/>
  <c r="J18" i="7" s="1"/>
  <c r="J88" i="7" s="1"/>
  <c r="C26" i="7"/>
  <c r="J133" i="7" s="1"/>
  <c r="C25" i="7"/>
  <c r="J22" i="7" s="1"/>
  <c r="J92" i="7" s="1"/>
  <c r="C24" i="7"/>
  <c r="J21" i="7" s="1"/>
  <c r="J91" i="7" s="1"/>
  <c r="C9" i="7"/>
  <c r="J9" i="7" s="1"/>
  <c r="J79" i="7" s="1"/>
  <c r="C8" i="7"/>
  <c r="J8" i="7" s="1"/>
  <c r="J78" i="7" s="1"/>
  <c r="C6" i="7"/>
  <c r="J6" i="7" s="1"/>
  <c r="J76" i="7" s="1"/>
  <c r="J190" i="7" l="1"/>
  <c r="J148" i="7"/>
  <c r="J189" i="7"/>
  <c r="J188" i="7"/>
  <c r="J20" i="7"/>
  <c r="J90" i="7" s="1"/>
  <c r="J19" i="7"/>
  <c r="J89" i="7" s="1"/>
  <c r="J186" i="7"/>
  <c r="J187" i="7"/>
  <c r="J185" i="7"/>
  <c r="C10" i="7"/>
  <c r="J34" i="7" s="1"/>
  <c r="J93" i="7"/>
  <c r="J157" i="7"/>
  <c r="J161" i="7"/>
  <c r="J160" i="7"/>
  <c r="C16" i="7"/>
  <c r="J123" i="7" s="1"/>
  <c r="J159" i="7"/>
  <c r="C75" i="7"/>
  <c r="J175" i="7" s="1"/>
  <c r="J155" i="7"/>
  <c r="C17" i="7"/>
  <c r="J124" i="7" s="1"/>
  <c r="C18" i="7"/>
  <c r="J125" i="7" s="1"/>
  <c r="C76" i="7"/>
  <c r="J176" i="7" s="1"/>
  <c r="J156" i="7"/>
  <c r="J138" i="7"/>
  <c r="J152" i="7"/>
  <c r="J130" i="7"/>
  <c r="J142" i="7"/>
  <c r="J129" i="7"/>
  <c r="J139" i="7"/>
  <c r="J134" i="7"/>
  <c r="J64" i="7"/>
  <c r="J120" i="7"/>
  <c r="J69" i="7"/>
  <c r="J43" i="7"/>
  <c r="J122" i="7"/>
  <c r="J50" i="7"/>
  <c r="J66" i="7"/>
  <c r="J70" i="7"/>
  <c r="J45" i="7"/>
  <c r="J42" i="7"/>
  <c r="J117" i="7"/>
  <c r="J49" i="7"/>
  <c r="J44" i="7"/>
  <c r="J41" i="7"/>
  <c r="J65" i="7"/>
  <c r="J116" i="7"/>
  <c r="J48" i="7"/>
  <c r="J68" i="7"/>
  <c r="J51" i="7" l="1"/>
  <c r="J14" i="7"/>
  <c r="J84" i="7" s="1"/>
  <c r="J13" i="7"/>
  <c r="J83" i="7" s="1"/>
  <c r="J53" i="7"/>
  <c r="J15" i="7"/>
  <c r="J85" i="7" s="1"/>
  <c r="J52" i="7"/>
</calcChain>
</file>

<file path=xl/sharedStrings.xml><?xml version="1.0" encoding="utf-8"?>
<sst xmlns="http://schemas.openxmlformats.org/spreadsheetml/2006/main" count="1052" uniqueCount="256">
  <si>
    <t>Superstructure</t>
  </si>
  <si>
    <t>Basic Information for bridge</t>
  </si>
  <si>
    <t>Material grade</t>
  </si>
  <si>
    <t>Cross bracing</t>
  </si>
  <si>
    <t xml:space="preserve">Stiffeners </t>
  </si>
  <si>
    <t>Girder</t>
  </si>
  <si>
    <t>Substructure</t>
  </si>
  <si>
    <t>Nomenclature/ Bridge ID</t>
  </si>
  <si>
    <t>Name to display</t>
  </si>
  <si>
    <t>Location</t>
  </si>
  <si>
    <t>Type of bridge</t>
  </si>
  <si>
    <t>Span (m)</t>
  </si>
  <si>
    <t>Lanes</t>
  </si>
  <si>
    <t>Footpath</t>
  </si>
  <si>
    <t>Total width of bridge</t>
  </si>
  <si>
    <t>Grade of rebar</t>
  </si>
  <si>
    <t>Grade of structural steel</t>
  </si>
  <si>
    <t>Grade of concrete (Reinforced concrete)</t>
  </si>
  <si>
    <t>Deck slab</t>
  </si>
  <si>
    <t>Spacing between girders</t>
  </si>
  <si>
    <t>Spacing between bracing</t>
  </si>
  <si>
    <t>No of cross bracings</t>
  </si>
  <si>
    <t>Section details (keep in the same format)</t>
  </si>
  <si>
    <t>Transverse Stiffeners 
 [per one side of the girder]</t>
  </si>
  <si>
    <t>Bearing Stiffeners 
 [per one side of the girder]</t>
  </si>
  <si>
    <t>Girder Details</t>
  </si>
  <si>
    <t>Longitudinal segmentation of the girder</t>
  </si>
  <si>
    <t>Pile</t>
  </si>
  <si>
    <t>Pile cap</t>
  </si>
  <si>
    <t>Pier</t>
  </si>
  <si>
    <t>Pier cap</t>
  </si>
  <si>
    <t>(For Pies, Pile cap, Pier, Pier cap, deck slab)</t>
  </si>
  <si>
    <t>Depth of slab</t>
  </si>
  <si>
    <t>Width</t>
  </si>
  <si>
    <t>Thickeness</t>
  </si>
  <si>
    <t>Spacing</t>
  </si>
  <si>
    <t>Mid</t>
  </si>
  <si>
    <t>Intermediate</t>
  </si>
  <si>
    <t>Support</t>
  </si>
  <si>
    <t>End diaphragm</t>
  </si>
  <si>
    <t>No of piles</t>
  </si>
  <si>
    <t>Depth of pile</t>
  </si>
  <si>
    <t>Diameter of pile</t>
  </si>
  <si>
    <t>% of reinforcement</t>
  </si>
  <si>
    <t>Pile cap depth</t>
  </si>
  <si>
    <t>Pile cap dimenions</t>
  </si>
  <si>
    <t>Depth of PCC</t>
  </si>
  <si>
    <t>Height of pier</t>
  </si>
  <si>
    <t>Diameter of pier</t>
  </si>
  <si>
    <t>Mid Depth</t>
  </si>
  <si>
    <t>End depth</t>
  </si>
  <si>
    <t>Length of the mid section</t>
  </si>
  <si>
    <t>Length of the taper section (one side)</t>
  </si>
  <si>
    <t>Grade of concrete: , Depth:</t>
  </si>
  <si>
    <t>top flange width</t>
  </si>
  <si>
    <t>top flange thickness</t>
  </si>
  <si>
    <t>Web depth</t>
  </si>
  <si>
    <t>web thickness</t>
  </si>
  <si>
    <t>bottom flange width</t>
  </si>
  <si>
    <t>bottom flange thickness</t>
  </si>
  <si>
    <t>length of this section per girder</t>
  </si>
  <si>
    <t>(m)</t>
  </si>
  <si>
    <t>Check the values</t>
  </si>
  <si>
    <t>m</t>
  </si>
  <si>
    <t>Initial</t>
  </si>
  <si>
    <t>to</t>
  </si>
  <si>
    <t>End</t>
  </si>
  <si>
    <t>M_20_2L_OF_S</t>
  </si>
  <si>
    <t>Mumbai</t>
  </si>
  <si>
    <t>Steel-girder RC deck</t>
  </si>
  <si>
    <t>Yes</t>
  </si>
  <si>
    <t>Fe500</t>
  </si>
  <si>
    <t>E350</t>
  </si>
  <si>
    <t>M35</t>
  </si>
  <si>
    <t>90 x 90 x 10</t>
  </si>
  <si>
    <t>3.8 X 3.8</t>
  </si>
  <si>
    <t>M_25_2L_OF_S</t>
  </si>
  <si>
    <t>90 x 90 x 12</t>
  </si>
  <si>
    <t>4 X 4</t>
  </si>
  <si>
    <t>M_30_2L_OF_S</t>
  </si>
  <si>
    <t>100 x 100 x 8</t>
  </si>
  <si>
    <t>4.5 X 4.5</t>
  </si>
  <si>
    <t>M_35_2L_OF_S</t>
  </si>
  <si>
    <t>5 X 5</t>
  </si>
  <si>
    <t>M_40_2L_OF_S</t>
  </si>
  <si>
    <t>110 x 110 x 10</t>
  </si>
  <si>
    <t>M_45_2L_OF_S</t>
  </si>
  <si>
    <t>110 x 110 x 12</t>
  </si>
  <si>
    <t>M_20_2L_NF_S</t>
  </si>
  <si>
    <t>No</t>
  </si>
  <si>
    <t>M_25_2L_NF_S</t>
  </si>
  <si>
    <t>M_30_2L_NF_S</t>
  </si>
  <si>
    <t>M_35_2L_NF_S</t>
  </si>
  <si>
    <t>M_40_2L_NF_S</t>
  </si>
  <si>
    <t>M_45_2L_NF_S</t>
  </si>
  <si>
    <t>M_20_3L_OF_S</t>
  </si>
  <si>
    <t>M_25_3L_OF_S</t>
  </si>
  <si>
    <t>M_30_3L_OF_S</t>
  </si>
  <si>
    <t>M_35_3L_OF_S</t>
  </si>
  <si>
    <t>M_40_3L_OF_S</t>
  </si>
  <si>
    <t>M_45_3L_OF_S</t>
  </si>
  <si>
    <t>M_20_3L_NF_S</t>
  </si>
  <si>
    <t>M_25_3L_NF_S</t>
  </si>
  <si>
    <t>M_30_3L_NF_S</t>
  </si>
  <si>
    <t>M_35_3L_NF_S</t>
  </si>
  <si>
    <t>M_40_3L_NF_S</t>
  </si>
  <si>
    <t>M_45_3L_NF_S</t>
  </si>
  <si>
    <t>D_20_2L_OF_S</t>
  </si>
  <si>
    <t>Darbhanga</t>
  </si>
  <si>
    <t>D_25_2L_OF_S</t>
  </si>
  <si>
    <t>6 X 6</t>
  </si>
  <si>
    <t>D_30_2L_OF_S</t>
  </si>
  <si>
    <t>D_35_2L_OF_S</t>
  </si>
  <si>
    <t>D_40_2L_OF_S</t>
  </si>
  <si>
    <t>D_45_2L_OF_S</t>
  </si>
  <si>
    <t>7.5 X 7.5</t>
  </si>
  <si>
    <t>D_20_2L_NF_S</t>
  </si>
  <si>
    <t>D_25_2L_NF_S</t>
  </si>
  <si>
    <t>D_30_2L_NF_S</t>
  </si>
  <si>
    <t>D_35_2L_NF_S</t>
  </si>
  <si>
    <t>D_40_2L_NF_S</t>
  </si>
  <si>
    <t>D_45_2L_NF_S</t>
  </si>
  <si>
    <t>D_20_3L_OF_S</t>
  </si>
  <si>
    <t>D_25_3L_OF_S</t>
  </si>
  <si>
    <t>D_30_3L_OF_S</t>
  </si>
  <si>
    <t>D_35_3L_OF_S</t>
  </si>
  <si>
    <t>D_40_3L_OF_S</t>
  </si>
  <si>
    <t>D_45_3L_OF_S</t>
  </si>
  <si>
    <t>D_20_3L_NF_S</t>
  </si>
  <si>
    <t>D_25_3L_NF_S</t>
  </si>
  <si>
    <t>D_30_3L_NF_S</t>
  </si>
  <si>
    <t>D_35_3L_NF_S</t>
  </si>
  <si>
    <t>D_40_3L_NF_S</t>
  </si>
  <si>
    <t>D_45_3L_NF_S</t>
  </si>
  <si>
    <t>VBA Variable Name</t>
  </si>
  <si>
    <t>deckWidth</t>
  </si>
  <si>
    <t>Deck Slab Thickness</t>
  </si>
  <si>
    <t>slabThk</t>
  </si>
  <si>
    <t>Number of Girders</t>
  </si>
  <si>
    <t>numGirders</t>
  </si>
  <si>
    <t>C/C spacing between Girders</t>
  </si>
  <si>
    <t>Top Flange Width</t>
  </si>
  <si>
    <t>Top Flange Thickness</t>
  </si>
  <si>
    <t>Web Thickness</t>
  </si>
  <si>
    <t>Bottom Flange Width</t>
  </si>
  <si>
    <t>Bottom Flange Thickness</t>
  </si>
  <si>
    <t>deckSpan</t>
  </si>
  <si>
    <t>No. of girder.</t>
  </si>
  <si>
    <t>Web Depth</t>
  </si>
  <si>
    <t>Nos.</t>
  </si>
  <si>
    <t>Bracing properties.</t>
  </si>
  <si>
    <t>Section</t>
  </si>
  <si>
    <t>bracing Section</t>
  </si>
  <si>
    <t>Support portion girder properties</t>
  </si>
  <si>
    <t>Intermediate portion girder properties</t>
  </si>
  <si>
    <t>End diaphragm properties</t>
  </si>
  <si>
    <t xml:space="preserve">` </t>
  </si>
  <si>
    <t>gTopWMid</t>
  </si>
  <si>
    <t>gTopTMid</t>
  </si>
  <si>
    <t>gWebTMid</t>
  </si>
  <si>
    <t>gBotWMid</t>
  </si>
  <si>
    <t>gBotTMid</t>
  </si>
  <si>
    <t>gTopWInter</t>
  </si>
  <si>
    <t>gTopTInter</t>
  </si>
  <si>
    <t>gWebTInter</t>
  </si>
  <si>
    <t>gBotWInter</t>
  </si>
  <si>
    <t>gBotTInter</t>
  </si>
  <si>
    <t>gWebDMid</t>
  </si>
  <si>
    <t>gWebDInter</t>
  </si>
  <si>
    <t>gTopWSupport</t>
  </si>
  <si>
    <t>gTopTSupport</t>
  </si>
  <si>
    <t>gWebDSupport</t>
  </si>
  <si>
    <t>gWebTSupport</t>
  </si>
  <si>
    <t>gBotWSupport</t>
  </si>
  <si>
    <t>gBotTSupport</t>
  </si>
  <si>
    <t>gTopWEndDiaph</t>
  </si>
  <si>
    <t>gTopTEndDiaph</t>
  </si>
  <si>
    <t>gWebDEndDiaph</t>
  </si>
  <si>
    <t>gWebTEndDiaph</t>
  </si>
  <si>
    <t>gBotWEndDiaph</t>
  </si>
  <si>
    <t>gBotTEndDiaph</t>
  </si>
  <si>
    <t>Thickness</t>
  </si>
  <si>
    <t xml:space="preserve">Width </t>
  </si>
  <si>
    <t>sTransW</t>
  </si>
  <si>
    <t>sTransT</t>
  </si>
  <si>
    <t>sTransS</t>
  </si>
  <si>
    <t>sBearW</t>
  </si>
  <si>
    <t>sBearT</t>
  </si>
  <si>
    <t>sBearS</t>
  </si>
  <si>
    <t>Length of girder (mid portion)</t>
  </si>
  <si>
    <t>gLengthMid</t>
  </si>
  <si>
    <t>gLengthSupport</t>
  </si>
  <si>
    <t>Length of girder (Intermediate portion)</t>
  </si>
  <si>
    <t>gLengthInter</t>
  </si>
  <si>
    <t>Length of girder (Support portion)</t>
  </si>
  <si>
    <t>Parameter description</t>
  </si>
  <si>
    <t>Mid portion girder properties</t>
  </si>
  <si>
    <t>Transverse Stiffeners [per one side of the girder]</t>
  </si>
  <si>
    <t>Bearing Stiffners [per one side of the girder]</t>
  </si>
  <si>
    <t>Bridge ID</t>
  </si>
  <si>
    <t>No. of cross-bracings</t>
  </si>
  <si>
    <t>Spacing between bracings</t>
  </si>
  <si>
    <t>Depth of piles</t>
  </si>
  <si>
    <t>Dia of piles</t>
  </si>
  <si>
    <t>%of reinforcement</t>
  </si>
  <si>
    <t>General details</t>
  </si>
  <si>
    <t>Total Width of bridge deck</t>
  </si>
  <si>
    <t>Total Span of bridge deck</t>
  </si>
  <si>
    <t>bSpacing</t>
  </si>
  <si>
    <t>bNos</t>
  </si>
  <si>
    <t>Figure 4:  Longitudinal section of the bridge</t>
  </si>
  <si>
    <t>Width of bracing</t>
  </si>
  <si>
    <t>Length of bracing</t>
  </si>
  <si>
    <t>bWidth</t>
  </si>
  <si>
    <t>bLength</t>
  </si>
  <si>
    <t>Thickness of bracing</t>
  </si>
  <si>
    <t>bthickness</t>
  </si>
  <si>
    <t>Pile cap dimensions</t>
  </si>
  <si>
    <t>Pile cap width</t>
  </si>
  <si>
    <t>Pile cap length</t>
  </si>
  <si>
    <t>pileNo</t>
  </si>
  <si>
    <t>pileDepth</t>
  </si>
  <si>
    <t>pileDia</t>
  </si>
  <si>
    <t>pileReinf</t>
  </si>
  <si>
    <t>pilecapDepth</t>
  </si>
  <si>
    <t>pilecapWidth</t>
  </si>
  <si>
    <t>pilecapLength</t>
  </si>
  <si>
    <t>pilecapPCC</t>
  </si>
  <si>
    <t>pilcecapReinf</t>
  </si>
  <si>
    <t>pierHt</t>
  </si>
  <si>
    <t>pierDia</t>
  </si>
  <si>
    <t xml:space="preserve">Pier cap </t>
  </si>
  <si>
    <t>piercapDepth</t>
  </si>
  <si>
    <t>piercapLengthMidsec</t>
  </si>
  <si>
    <t>piercapLengthtaper</t>
  </si>
  <si>
    <t>piercapReinf</t>
  </si>
  <si>
    <t>Figure 5: Substructure</t>
  </si>
  <si>
    <t>Carriage way</t>
  </si>
  <si>
    <t>roadWidth</t>
  </si>
  <si>
    <t>Road Thickness</t>
  </si>
  <si>
    <t>roadThk</t>
  </si>
  <si>
    <t>gTopWSup</t>
  </si>
  <si>
    <t>gTopTSup</t>
  </si>
  <si>
    <t>gWebDSup</t>
  </si>
  <si>
    <t>gWebTSup</t>
  </si>
  <si>
    <t>gBotWSup</t>
  </si>
  <si>
    <t>S</t>
  </si>
  <si>
    <t>Figure 1a: Cross section at middle portion of bridge (section A-A) , Scale 1:100</t>
  </si>
  <si>
    <t>Figure 1b: Cross sectional details of girder at middle portion (section A-A) , Scale 1:20</t>
  </si>
  <si>
    <t>Figure 2a: Cross section at support portion of bridge (section B-B) , Scale 1:100</t>
  </si>
  <si>
    <t>Figure 3a: Cross section at intermediate portion of bridge (section C-C) , Scale 1:100</t>
  </si>
  <si>
    <t>Figure 2b: Cross sectional details of girder at support portion (section B-B), Scale 1:20</t>
  </si>
  <si>
    <t>Figure 3b: Cross sectional details of girder at intermediate portion (section C-C), Scale 1:20</t>
  </si>
  <si>
    <t>Mid depth</t>
  </si>
  <si>
    <t>.</t>
  </si>
  <si>
    <t>length of this section per girder (left and right addition)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</si>
</sst>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6" x14ac:knownFonts="1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b/>
      <sz val="11"/>
      <color theme="1"/>
      <name val="Arial"/>
      <scheme val="minor"/>
    </font>
    <font>
      <sz val="10"/>
      <color theme="1"/>
      <name val="Arial"/>
      <scheme val="minor"/>
    </font>
    <font>
      <b/>
      <sz val="13"/>
      <color theme="1"/>
      <name val="Arial"/>
      <scheme val="minor"/>
    </font>
    <font>
      <b/>
      <sz val="12"/>
      <color theme="1"/>
      <name val="Arial"/>
      <scheme val="minor"/>
    </font>
    <font>
      <b/>
      <sz val="10"/>
      <color theme="1"/>
      <name val="Arial"/>
      <scheme val="minor"/>
    </font>
    <font>
      <sz val="10"/>
      <name val="Arial"/>
    </font>
    <font>
      <b/>
      <sz val="10"/>
      <color rgb="FF000000"/>
      <name val="Arial"/>
      <scheme val="minor"/>
    </font>
    <font>
      <sz val="11"/>
      <color rgb="FF980000"/>
      <name val="Arial"/>
    </font>
    <font>
      <sz val="11"/>
      <color theme="1"/>
      <name val="Arial"/>
      <scheme val="minor"/>
    </font>
    <font>
      <b/>
      <sz val="11"/>
      <color rgb="FF980000"/>
      <name val="Arial"/>
    </font>
    <font>
      <sz val="10"/>
      <color rgb="FF980000"/>
      <name val="Arial"/>
    </font>
    <font>
      <b/>
      <sz val="10"/>
      <color rgb="FF000000"/>
      <name val="Arial"/>
    </font>
    <font>
      <sz val="10"/>
      <color rgb="FF000000"/>
      <name val="Arial"/>
    </font>
    <font>
      <b/>
      <sz val="10"/>
      <color rgb="FF980000"/>
      <name val="Arial"/>
    </font>
    <font>
      <b/>
      <sz val="11"/>
      <color rgb="FF000000"/>
      <name val="Arial"/>
    </font>
    <font>
      <sz val="12"/>
      <color rgb="FF000000"/>
      <name val="Arial"/>
    </font>
    <font>
      <sz val="11"/>
      <color rgb="FF000000"/>
      <name val="Arial"/>
    </font>
    <font>
      <b/>
      <sz val="12"/>
      <color rgb="FF000000"/>
      <name val="Arial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1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  <scheme val="minor"/>
    </font>
    <font>
      <sz val="12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00FF00"/>
        <bgColor rgb="FF00FF00"/>
      </patternFill>
    </fill>
    <fill>
      <patternFill patternType="solid">
        <fgColor rgb="FFFFFF00"/>
        <bgColor rgb="FFFFFF00"/>
      </patternFill>
    </fill>
    <fill>
      <patternFill patternType="solid">
        <fgColor rgb="FFB4FAFF"/>
        <bgColor rgb="FFB4FAFF"/>
      </patternFill>
    </fill>
    <fill>
      <patternFill patternType="solid">
        <fgColor rgb="FFC9DAF8"/>
        <bgColor rgb="FFC9DAF8"/>
      </patternFill>
    </fill>
    <fill>
      <patternFill patternType="solid">
        <fgColor rgb="FFD5A6BD"/>
        <bgColor rgb="FFD5A6BD"/>
      </patternFill>
    </fill>
    <fill>
      <patternFill patternType="solid">
        <fgColor rgb="FFEAD1DC"/>
        <bgColor rgb="FFEAD1DC"/>
      </patternFill>
    </fill>
    <fill>
      <patternFill patternType="solid">
        <fgColor rgb="FFF4CCCC"/>
        <bgColor rgb="FFF4CCCC"/>
      </patternFill>
    </fill>
    <fill>
      <patternFill patternType="solid">
        <fgColor rgb="FFD0E0E3"/>
        <bgColor rgb="FFD0E0E3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</borders>
  <cellStyleXfs count="1">
    <xf numFmtId="0" fontId="0" fillId="0" borderId="0"/>
  </cellStyleXfs>
  <cellXfs count="267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/>
    <xf numFmtId="0" fontId="3" fillId="0" borderId="0" xfId="0" applyFont="1" applyAlignment="1">
      <alignment wrapTex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3" fillId="0" borderId="4" xfId="0" applyFont="1" applyBorder="1"/>
    <xf numFmtId="0" fontId="10" fillId="0" borderId="0" xfId="0" applyFont="1" applyAlignment="1">
      <alignment wrapText="1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wrapText="1"/>
    </xf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wrapText="1"/>
    </xf>
    <xf numFmtId="0" fontId="12" fillId="0" borderId="6" xfId="0" applyFont="1" applyBorder="1" applyAlignment="1">
      <alignment horizontal="center" wrapText="1"/>
    </xf>
    <xf numFmtId="0" fontId="12" fillId="0" borderId="7" xfId="0" applyFont="1" applyBorder="1" applyAlignment="1">
      <alignment horizontal="center" wrapText="1"/>
    </xf>
    <xf numFmtId="0" fontId="12" fillId="0" borderId="8" xfId="0" applyFont="1" applyBorder="1" applyAlignment="1">
      <alignment horizontal="center" wrapText="1"/>
    </xf>
    <xf numFmtId="0" fontId="12" fillId="0" borderId="0" xfId="0" applyFont="1" applyAlignment="1">
      <alignment horizontal="center" wrapText="1"/>
    </xf>
    <xf numFmtId="0" fontId="12" fillId="0" borderId="1" xfId="0" applyFont="1" applyBorder="1" applyAlignment="1">
      <alignment horizontal="center" wrapText="1"/>
    </xf>
    <xf numFmtId="0" fontId="12" fillId="0" borderId="5" xfId="0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12" fillId="0" borderId="10" xfId="0" applyFont="1" applyBorder="1" applyAlignment="1">
      <alignment horizontal="center" wrapText="1"/>
    </xf>
    <xf numFmtId="0" fontId="14" fillId="0" borderId="0" xfId="0" applyFont="1" applyAlignment="1">
      <alignment horizontal="center" wrapText="1"/>
    </xf>
    <xf numFmtId="0" fontId="12" fillId="0" borderId="11" xfId="0" applyFont="1" applyBorder="1" applyAlignment="1">
      <alignment horizontal="center" wrapText="1"/>
    </xf>
    <xf numFmtId="0" fontId="12" fillId="0" borderId="3" xfId="0" applyFont="1" applyBorder="1" applyAlignment="1">
      <alignment horizontal="center" wrapText="1"/>
    </xf>
    <xf numFmtId="0" fontId="12" fillId="5" borderId="1" xfId="0" applyFont="1" applyFill="1" applyBorder="1" applyAlignment="1">
      <alignment horizontal="center" wrapText="1"/>
    </xf>
    <xf numFmtId="0" fontId="12" fillId="5" borderId="2" xfId="0" applyFont="1" applyFill="1" applyBorder="1" applyAlignment="1">
      <alignment horizontal="center" wrapText="1"/>
    </xf>
    <xf numFmtId="0" fontId="15" fillId="0" borderId="6" xfId="0" applyFont="1" applyBorder="1" applyAlignment="1">
      <alignment horizontal="center" wrapText="1"/>
    </xf>
    <xf numFmtId="0" fontId="15" fillId="0" borderId="7" xfId="0" applyFont="1" applyBorder="1" applyAlignment="1">
      <alignment horizontal="center" wrapText="1"/>
    </xf>
    <xf numFmtId="0" fontId="15" fillId="0" borderId="8" xfId="0" applyFont="1" applyBorder="1" applyAlignment="1">
      <alignment horizontal="center" wrapText="1"/>
    </xf>
    <xf numFmtId="0" fontId="13" fillId="0" borderId="8" xfId="0" applyFont="1" applyBorder="1" applyAlignment="1">
      <alignment wrapText="1"/>
    </xf>
    <xf numFmtId="0" fontId="15" fillId="0" borderId="0" xfId="0" applyFont="1" applyAlignment="1">
      <alignment horizontal="center" wrapText="1"/>
    </xf>
    <xf numFmtId="0" fontId="15" fillId="0" borderId="10" xfId="0" applyFont="1" applyBorder="1" applyAlignment="1">
      <alignment horizontal="center" wrapText="1"/>
    </xf>
    <xf numFmtId="0" fontId="15" fillId="0" borderId="9" xfId="0" applyFont="1" applyBorder="1" applyAlignment="1">
      <alignment horizontal="center" wrapText="1"/>
    </xf>
    <xf numFmtId="0" fontId="15" fillId="0" borderId="12" xfId="0" applyFont="1" applyBorder="1" applyAlignment="1">
      <alignment horizontal="center" wrapText="1"/>
    </xf>
    <xf numFmtId="0" fontId="13" fillId="0" borderId="6" xfId="0" applyFont="1" applyBorder="1" applyAlignment="1">
      <alignment wrapText="1"/>
    </xf>
    <xf numFmtId="0" fontId="13" fillId="0" borderId="0" xfId="0" applyFont="1" applyAlignment="1">
      <alignment horizontal="center" wrapText="1"/>
    </xf>
    <xf numFmtId="0" fontId="13" fillId="0" borderId="8" xfId="0" applyFont="1" applyBorder="1" applyAlignment="1">
      <alignment horizontal="center" wrapText="1"/>
    </xf>
    <xf numFmtId="0" fontId="13" fillId="0" borderId="0" xfId="0" applyFont="1" applyAlignment="1">
      <alignment horizontal="right" wrapText="1"/>
    </xf>
    <xf numFmtId="0" fontId="13" fillId="0" borderId="6" xfId="0" applyFont="1" applyBorder="1" applyAlignment="1">
      <alignment horizontal="center" wrapText="1"/>
    </xf>
    <xf numFmtId="0" fontId="15" fillId="0" borderId="13" xfId="0" applyFont="1" applyBorder="1" applyAlignment="1">
      <alignment horizontal="center" wrapText="1"/>
    </xf>
    <xf numFmtId="0" fontId="15" fillId="5" borderId="12" xfId="0" applyFont="1" applyFill="1" applyBorder="1" applyAlignment="1">
      <alignment horizontal="center" wrapText="1"/>
    </xf>
    <xf numFmtId="0" fontId="15" fillId="5" borderId="10" xfId="0" applyFont="1" applyFill="1" applyBorder="1" applyAlignment="1">
      <alignment horizontal="center" wrapText="1"/>
    </xf>
    <xf numFmtId="0" fontId="15" fillId="5" borderId="9" xfId="0" applyFont="1" applyFill="1" applyBorder="1" applyAlignment="1">
      <alignment horizontal="center" wrapText="1"/>
    </xf>
    <xf numFmtId="0" fontId="11" fillId="0" borderId="0" xfId="0" applyFont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12" xfId="0" applyFont="1" applyBorder="1" applyAlignment="1">
      <alignment horizontal="center" wrapText="1"/>
    </xf>
    <xf numFmtId="0" fontId="14" fillId="0" borderId="12" xfId="0" applyFont="1" applyBorder="1"/>
    <xf numFmtId="0" fontId="12" fillId="0" borderId="9" xfId="0" applyFont="1" applyBorder="1" applyAlignment="1">
      <alignment horizontal="center"/>
    </xf>
    <xf numFmtId="0" fontId="14" fillId="0" borderId="10" xfId="0" applyFont="1" applyBorder="1"/>
    <xf numFmtId="0" fontId="14" fillId="0" borderId="9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0" xfId="0" applyFont="1" applyAlignment="1">
      <alignment horizontal="right"/>
    </xf>
    <xf numFmtId="0" fontId="14" fillId="0" borderId="10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5" borderId="12" xfId="0" applyFont="1" applyFill="1" applyBorder="1" applyAlignment="1">
      <alignment horizontal="center"/>
    </xf>
    <xf numFmtId="0" fontId="12" fillId="5" borderId="10" xfId="0" applyFont="1" applyFill="1" applyBorder="1" applyAlignment="1">
      <alignment horizontal="center"/>
    </xf>
    <xf numFmtId="0" fontId="12" fillId="5" borderId="9" xfId="0" applyFont="1" applyFill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4" fillId="0" borderId="8" xfId="0" applyFont="1" applyBorder="1"/>
    <xf numFmtId="0" fontId="14" fillId="0" borderId="6" xfId="0" applyFont="1" applyBorder="1"/>
    <xf numFmtId="0" fontId="14" fillId="0" borderId="0" xfId="0" applyFont="1"/>
    <xf numFmtId="0" fontId="12" fillId="5" borderId="8" xfId="0" applyFont="1" applyFill="1" applyBorder="1" applyAlignment="1">
      <alignment horizontal="center"/>
    </xf>
    <xf numFmtId="0" fontId="12" fillId="5" borderId="6" xfId="0" applyFont="1" applyFill="1" applyBorder="1" applyAlignment="1">
      <alignment horizontal="center"/>
    </xf>
    <xf numFmtId="0" fontId="12" fillId="5" borderId="0" xfId="0" applyFont="1" applyFill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4" fillId="6" borderId="6" xfId="0" applyFont="1" applyFill="1" applyBorder="1" applyAlignment="1">
      <alignment horizontal="center"/>
    </xf>
    <xf numFmtId="0" fontId="14" fillId="6" borderId="7" xfId="0" applyFont="1" applyFill="1" applyBorder="1" applyAlignment="1">
      <alignment horizontal="center"/>
    </xf>
    <xf numFmtId="0" fontId="14" fillId="6" borderId="8" xfId="0" applyFont="1" applyFill="1" applyBorder="1" applyAlignment="1">
      <alignment horizontal="center"/>
    </xf>
    <xf numFmtId="0" fontId="13" fillId="6" borderId="8" xfId="0" applyFont="1" applyFill="1" applyBorder="1" applyAlignment="1">
      <alignment horizontal="center"/>
    </xf>
    <xf numFmtId="0" fontId="14" fillId="6" borderId="8" xfId="0" applyFont="1" applyFill="1" applyBorder="1" applyAlignment="1">
      <alignment horizontal="center" wrapText="1"/>
    </xf>
    <xf numFmtId="0" fontId="17" fillId="6" borderId="0" xfId="0" applyFont="1" applyFill="1" applyAlignment="1">
      <alignment horizontal="center"/>
    </xf>
    <xf numFmtId="0" fontId="17" fillId="6" borderId="6" xfId="0" applyFont="1" applyFill="1" applyBorder="1" applyAlignment="1">
      <alignment horizontal="center"/>
    </xf>
    <xf numFmtId="0" fontId="13" fillId="6" borderId="7" xfId="0" applyFont="1" applyFill="1" applyBorder="1" applyAlignment="1">
      <alignment horizontal="center"/>
    </xf>
    <xf numFmtId="0" fontId="17" fillId="6" borderId="8" xfId="0" applyFont="1" applyFill="1" applyBorder="1" applyAlignment="1">
      <alignment horizontal="center"/>
    </xf>
    <xf numFmtId="0" fontId="14" fillId="6" borderId="6" xfId="0" applyFont="1" applyFill="1" applyBorder="1" applyAlignment="1">
      <alignment horizontal="right"/>
    </xf>
    <xf numFmtId="0" fontId="14" fillId="6" borderId="0" xfId="0" applyFont="1" applyFill="1" applyAlignment="1">
      <alignment horizontal="right"/>
    </xf>
    <xf numFmtId="0" fontId="14" fillId="6" borderId="8" xfId="0" applyFont="1" applyFill="1" applyBorder="1" applyAlignment="1">
      <alignment horizontal="right"/>
    </xf>
    <xf numFmtId="0" fontId="14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8" fillId="6" borderId="0" xfId="0" applyFont="1" applyFill="1" applyAlignment="1">
      <alignment horizontal="center"/>
    </xf>
    <xf numFmtId="0" fontId="18" fillId="6" borderId="6" xfId="0" applyFont="1" applyFill="1" applyBorder="1" applyAlignment="1">
      <alignment horizontal="center"/>
    </xf>
    <xf numFmtId="0" fontId="18" fillId="6" borderId="7" xfId="0" applyFont="1" applyFill="1" applyBorder="1" applyAlignment="1">
      <alignment horizontal="center"/>
    </xf>
    <xf numFmtId="0" fontId="18" fillId="6" borderId="8" xfId="0" applyFont="1" applyFill="1" applyBorder="1" applyAlignment="1">
      <alignment horizontal="center"/>
    </xf>
    <xf numFmtId="10" fontId="18" fillId="6" borderId="8" xfId="0" applyNumberFormat="1" applyFont="1" applyFill="1" applyBorder="1" applyAlignment="1">
      <alignment horizontal="center"/>
    </xf>
    <xf numFmtId="10" fontId="18" fillId="6" borderId="6" xfId="0" applyNumberFormat="1" applyFont="1" applyFill="1" applyBorder="1" applyAlignment="1">
      <alignment horizontal="center"/>
    </xf>
    <xf numFmtId="10" fontId="18" fillId="6" borderId="0" xfId="0" applyNumberFormat="1" applyFont="1" applyFill="1" applyAlignment="1">
      <alignment horizontal="center"/>
    </xf>
    <xf numFmtId="0" fontId="14" fillId="7" borderId="6" xfId="0" applyFont="1" applyFill="1" applyBorder="1" applyAlignment="1">
      <alignment horizontal="right"/>
    </xf>
    <xf numFmtId="0" fontId="14" fillId="7" borderId="0" xfId="0" applyFont="1" applyFill="1" applyAlignment="1">
      <alignment horizontal="right"/>
    </xf>
    <xf numFmtId="0" fontId="16" fillId="0" borderId="7" xfId="0" applyFont="1" applyBorder="1" applyAlignment="1">
      <alignment horizontal="center"/>
    </xf>
    <xf numFmtId="0" fontId="14" fillId="0" borderId="6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8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4" fillId="0" borderId="8" xfId="0" applyFont="1" applyBorder="1" applyAlignment="1">
      <alignment horizontal="center" wrapText="1"/>
    </xf>
    <xf numFmtId="0" fontId="17" fillId="0" borderId="0" xfId="0" applyFont="1" applyAlignment="1">
      <alignment horizontal="center"/>
    </xf>
    <xf numFmtId="0" fontId="17" fillId="0" borderId="6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7" fillId="0" borderId="8" xfId="0" applyFont="1" applyBorder="1" applyAlignment="1">
      <alignment horizontal="center"/>
    </xf>
    <xf numFmtId="0" fontId="14" fillId="0" borderId="6" xfId="0" applyFont="1" applyBorder="1" applyAlignment="1">
      <alignment horizontal="right"/>
    </xf>
    <xf numFmtId="0" fontId="14" fillId="0" borderId="8" xfId="0" applyFont="1" applyBorder="1" applyAlignment="1">
      <alignment horizontal="right"/>
    </xf>
    <xf numFmtId="0" fontId="14" fillId="8" borderId="0" xfId="0" applyFont="1" applyFill="1" applyAlignment="1">
      <alignment horizontal="right"/>
    </xf>
    <xf numFmtId="0" fontId="18" fillId="0" borderId="6" xfId="0" applyFont="1" applyBorder="1" applyAlignment="1">
      <alignment horizontal="center"/>
    </xf>
    <xf numFmtId="0" fontId="18" fillId="0" borderId="7" xfId="0" applyFont="1" applyBorder="1" applyAlignment="1">
      <alignment horizontal="center"/>
    </xf>
    <xf numFmtId="0" fontId="18" fillId="0" borderId="8" xfId="0" applyFont="1" applyBorder="1" applyAlignment="1">
      <alignment horizontal="center"/>
    </xf>
    <xf numFmtId="10" fontId="18" fillId="5" borderId="8" xfId="0" applyNumberFormat="1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10" fontId="18" fillId="5" borderId="6" xfId="0" applyNumberFormat="1" applyFont="1" applyFill="1" applyBorder="1" applyAlignment="1">
      <alignment horizontal="center"/>
    </xf>
    <xf numFmtId="0" fontId="18" fillId="5" borderId="0" xfId="0" applyFont="1" applyFill="1" applyAlignment="1">
      <alignment horizontal="center"/>
    </xf>
    <xf numFmtId="10" fontId="18" fillId="5" borderId="0" xfId="0" applyNumberFormat="1" applyFont="1" applyFill="1" applyAlignment="1">
      <alignment horizontal="center"/>
    </xf>
    <xf numFmtId="0" fontId="16" fillId="9" borderId="7" xfId="0" applyFont="1" applyFill="1" applyBorder="1" applyAlignment="1">
      <alignment horizontal="center"/>
    </xf>
    <xf numFmtId="0" fontId="14" fillId="9" borderId="6" xfId="0" applyFont="1" applyFill="1" applyBorder="1" applyAlignment="1">
      <alignment horizontal="center"/>
    </xf>
    <xf numFmtId="0" fontId="14" fillId="9" borderId="7" xfId="0" applyFont="1" applyFill="1" applyBorder="1" applyAlignment="1">
      <alignment horizontal="center"/>
    </xf>
    <xf numFmtId="0" fontId="14" fillId="9" borderId="8" xfId="0" applyFont="1" applyFill="1" applyBorder="1" applyAlignment="1">
      <alignment horizontal="center"/>
    </xf>
    <xf numFmtId="0" fontId="14" fillId="9" borderId="8" xfId="0" applyFont="1" applyFill="1" applyBorder="1" applyAlignment="1">
      <alignment horizontal="center" wrapText="1"/>
    </xf>
    <xf numFmtId="0" fontId="17" fillId="9" borderId="0" xfId="0" applyFont="1" applyFill="1" applyAlignment="1">
      <alignment horizontal="center"/>
    </xf>
    <xf numFmtId="0" fontId="17" fillId="9" borderId="6" xfId="0" applyFont="1" applyFill="1" applyBorder="1" applyAlignment="1">
      <alignment horizontal="center"/>
    </xf>
    <xf numFmtId="0" fontId="17" fillId="9" borderId="8" xfId="0" applyFont="1" applyFill="1" applyBorder="1" applyAlignment="1">
      <alignment horizontal="center"/>
    </xf>
    <xf numFmtId="0" fontId="14" fillId="9" borderId="6" xfId="0" applyFont="1" applyFill="1" applyBorder="1" applyAlignment="1">
      <alignment horizontal="right"/>
    </xf>
    <xf numFmtId="0" fontId="14" fillId="9" borderId="0" xfId="0" applyFont="1" applyFill="1" applyAlignment="1">
      <alignment horizontal="right"/>
    </xf>
    <xf numFmtId="0" fontId="14" fillId="9" borderId="8" xfId="0" applyFont="1" applyFill="1" applyBorder="1" applyAlignment="1">
      <alignment horizontal="right"/>
    </xf>
    <xf numFmtId="0" fontId="18" fillId="9" borderId="0" xfId="0" applyFont="1" applyFill="1" applyAlignment="1">
      <alignment horizontal="center"/>
    </xf>
    <xf numFmtId="0" fontId="18" fillId="9" borderId="6" xfId="0" applyFont="1" applyFill="1" applyBorder="1" applyAlignment="1">
      <alignment horizontal="center"/>
    </xf>
    <xf numFmtId="0" fontId="18" fillId="9" borderId="7" xfId="0" applyFont="1" applyFill="1" applyBorder="1" applyAlignment="1">
      <alignment horizontal="center"/>
    </xf>
    <xf numFmtId="0" fontId="18" fillId="9" borderId="8" xfId="0" applyFont="1" applyFill="1" applyBorder="1" applyAlignment="1">
      <alignment horizontal="center"/>
    </xf>
    <xf numFmtId="10" fontId="18" fillId="9" borderId="8" xfId="0" applyNumberFormat="1" applyFont="1" applyFill="1" applyBorder="1" applyAlignment="1">
      <alignment horizontal="center"/>
    </xf>
    <xf numFmtId="10" fontId="18" fillId="9" borderId="6" xfId="0" applyNumberFormat="1" applyFont="1" applyFill="1" applyBorder="1" applyAlignment="1">
      <alignment horizontal="center"/>
    </xf>
    <xf numFmtId="10" fontId="18" fillId="9" borderId="0" xfId="0" applyNumberFormat="1" applyFont="1" applyFill="1" applyAlignment="1">
      <alignment horizontal="center"/>
    </xf>
    <xf numFmtId="10" fontId="17" fillId="9" borderId="0" xfId="0" applyNumberFormat="1" applyFont="1" applyFill="1" applyAlignment="1">
      <alignment horizontal="center"/>
    </xf>
    <xf numFmtId="0" fontId="18" fillId="7" borderId="8" xfId="0" applyFont="1" applyFill="1" applyBorder="1" applyAlignment="1">
      <alignment horizontal="center"/>
    </xf>
    <xf numFmtId="0" fontId="13" fillId="9" borderId="6" xfId="0" applyFont="1" applyFill="1" applyBorder="1" applyAlignment="1">
      <alignment horizontal="center"/>
    </xf>
    <xf numFmtId="0" fontId="13" fillId="9" borderId="7" xfId="0" applyFont="1" applyFill="1" applyBorder="1" applyAlignment="1">
      <alignment horizontal="center"/>
    </xf>
    <xf numFmtId="0" fontId="13" fillId="9" borderId="8" xfId="0" applyFont="1" applyFill="1" applyBorder="1" applyAlignment="1">
      <alignment horizontal="center"/>
    </xf>
    <xf numFmtId="0" fontId="13" fillId="9" borderId="8" xfId="0" applyFont="1" applyFill="1" applyBorder="1" applyAlignment="1">
      <alignment horizontal="center" wrapText="1"/>
    </xf>
    <xf numFmtId="0" fontId="19" fillId="9" borderId="0" xfId="0" applyFont="1" applyFill="1" applyAlignment="1">
      <alignment horizontal="center"/>
    </xf>
    <xf numFmtId="0" fontId="19" fillId="9" borderId="6" xfId="0" applyFont="1" applyFill="1" applyBorder="1" applyAlignment="1">
      <alignment horizontal="center"/>
    </xf>
    <xf numFmtId="0" fontId="19" fillId="9" borderId="8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9" borderId="0" xfId="0" applyFont="1" applyFill="1" applyAlignment="1">
      <alignment horizontal="center"/>
    </xf>
    <xf numFmtId="0" fontId="16" fillId="9" borderId="6" xfId="0" applyFont="1" applyFill="1" applyBorder="1" applyAlignment="1">
      <alignment horizontal="center"/>
    </xf>
    <xf numFmtId="0" fontId="16" fillId="9" borderId="8" xfId="0" applyFont="1" applyFill="1" applyBorder="1" applyAlignment="1">
      <alignment horizontal="center"/>
    </xf>
    <xf numFmtId="10" fontId="16" fillId="9" borderId="8" xfId="0" applyNumberFormat="1" applyFont="1" applyFill="1" applyBorder="1" applyAlignment="1">
      <alignment horizontal="center"/>
    </xf>
    <xf numFmtId="10" fontId="16" fillId="9" borderId="6" xfId="0" applyNumberFormat="1" applyFont="1" applyFill="1" applyBorder="1" applyAlignment="1">
      <alignment horizontal="center"/>
    </xf>
    <xf numFmtId="0" fontId="16" fillId="7" borderId="8" xfId="0" applyFont="1" applyFill="1" applyBorder="1" applyAlignment="1">
      <alignment horizontal="center"/>
    </xf>
    <xf numFmtId="10" fontId="16" fillId="9" borderId="0" xfId="0" applyNumberFormat="1" applyFont="1" applyFill="1" applyAlignment="1">
      <alignment horizontal="center"/>
    </xf>
    <xf numFmtId="0" fontId="16" fillId="10" borderId="7" xfId="0" applyFont="1" applyFill="1" applyBorder="1" applyAlignment="1">
      <alignment horizontal="center"/>
    </xf>
    <xf numFmtId="0" fontId="14" fillId="10" borderId="6" xfId="0" applyFont="1" applyFill="1" applyBorder="1" applyAlignment="1">
      <alignment horizontal="center"/>
    </xf>
    <xf numFmtId="0" fontId="14" fillId="10" borderId="7" xfId="0" applyFont="1" applyFill="1" applyBorder="1" applyAlignment="1">
      <alignment horizontal="center"/>
    </xf>
    <xf numFmtId="0" fontId="14" fillId="10" borderId="8" xfId="0" applyFont="1" applyFill="1" applyBorder="1" applyAlignment="1">
      <alignment horizontal="center"/>
    </xf>
    <xf numFmtId="0" fontId="14" fillId="10" borderId="8" xfId="0" applyFont="1" applyFill="1" applyBorder="1" applyAlignment="1">
      <alignment horizontal="center" wrapText="1"/>
    </xf>
    <xf numFmtId="0" fontId="17" fillId="10" borderId="0" xfId="0" applyFont="1" applyFill="1" applyAlignment="1">
      <alignment horizontal="center"/>
    </xf>
    <xf numFmtId="0" fontId="17" fillId="10" borderId="6" xfId="0" applyFont="1" applyFill="1" applyBorder="1" applyAlignment="1">
      <alignment horizontal="center"/>
    </xf>
    <xf numFmtId="0" fontId="17" fillId="10" borderId="8" xfId="0" applyFont="1" applyFill="1" applyBorder="1" applyAlignment="1">
      <alignment horizontal="center"/>
    </xf>
    <xf numFmtId="0" fontId="14" fillId="10" borderId="6" xfId="0" applyFont="1" applyFill="1" applyBorder="1" applyAlignment="1">
      <alignment horizontal="right"/>
    </xf>
    <xf numFmtId="0" fontId="14" fillId="10" borderId="0" xfId="0" applyFont="1" applyFill="1" applyAlignment="1">
      <alignment horizontal="right"/>
    </xf>
    <xf numFmtId="0" fontId="14" fillId="10" borderId="8" xfId="0" applyFont="1" applyFill="1" applyBorder="1" applyAlignment="1">
      <alignment horizontal="right"/>
    </xf>
    <xf numFmtId="0" fontId="18" fillId="10" borderId="0" xfId="0" applyFont="1" applyFill="1" applyAlignment="1">
      <alignment horizontal="center"/>
    </xf>
    <xf numFmtId="0" fontId="18" fillId="10" borderId="6" xfId="0" applyFont="1" applyFill="1" applyBorder="1" applyAlignment="1">
      <alignment horizontal="center"/>
    </xf>
    <xf numFmtId="0" fontId="18" fillId="10" borderId="7" xfId="0" applyFont="1" applyFill="1" applyBorder="1" applyAlignment="1">
      <alignment horizontal="center"/>
    </xf>
    <xf numFmtId="0" fontId="18" fillId="10" borderId="8" xfId="0" applyFont="1" applyFill="1" applyBorder="1" applyAlignment="1">
      <alignment horizontal="center"/>
    </xf>
    <xf numFmtId="10" fontId="18" fillId="10" borderId="8" xfId="0" applyNumberFormat="1" applyFont="1" applyFill="1" applyBorder="1" applyAlignment="1">
      <alignment horizontal="center"/>
    </xf>
    <xf numFmtId="10" fontId="18" fillId="10" borderId="6" xfId="0" applyNumberFormat="1" applyFont="1" applyFill="1" applyBorder="1" applyAlignment="1">
      <alignment horizontal="center"/>
    </xf>
    <xf numFmtId="10" fontId="18" fillId="10" borderId="0" xfId="0" applyNumberFormat="1" applyFont="1" applyFill="1" applyAlignment="1">
      <alignment horizontal="center"/>
    </xf>
    <xf numFmtId="0" fontId="18" fillId="7" borderId="7" xfId="0" applyFont="1" applyFill="1" applyBorder="1" applyAlignment="1">
      <alignment horizontal="center"/>
    </xf>
    <xf numFmtId="0" fontId="16" fillId="2" borderId="7" xfId="0" applyFont="1" applyFill="1" applyBorder="1" applyAlignment="1">
      <alignment horizontal="center"/>
    </xf>
    <xf numFmtId="0" fontId="14" fillId="2" borderId="6" xfId="0" applyFont="1" applyFill="1" applyBorder="1" applyAlignment="1">
      <alignment horizontal="center"/>
    </xf>
    <xf numFmtId="0" fontId="14" fillId="2" borderId="7" xfId="0" applyFont="1" applyFill="1" applyBorder="1" applyAlignment="1">
      <alignment horizontal="center"/>
    </xf>
    <xf numFmtId="0" fontId="14" fillId="2" borderId="8" xfId="0" applyFont="1" applyFill="1" applyBorder="1" applyAlignment="1">
      <alignment horizontal="center"/>
    </xf>
    <xf numFmtId="0" fontId="14" fillId="2" borderId="8" xfId="0" applyFont="1" applyFill="1" applyBorder="1" applyAlignment="1">
      <alignment horizontal="center" wrapText="1"/>
    </xf>
    <xf numFmtId="0" fontId="17" fillId="2" borderId="0" xfId="0" applyFont="1" applyFill="1" applyAlignment="1">
      <alignment horizontal="center"/>
    </xf>
    <xf numFmtId="0" fontId="17" fillId="2" borderId="6" xfId="0" applyFont="1" applyFill="1" applyBorder="1" applyAlignment="1">
      <alignment horizontal="center"/>
    </xf>
    <xf numFmtId="0" fontId="17" fillId="2" borderId="8" xfId="0" applyFont="1" applyFill="1" applyBorder="1" applyAlignment="1">
      <alignment horizontal="center"/>
    </xf>
    <xf numFmtId="0" fontId="14" fillId="2" borderId="6" xfId="0" applyFont="1" applyFill="1" applyBorder="1" applyAlignment="1">
      <alignment horizontal="right"/>
    </xf>
    <xf numFmtId="0" fontId="14" fillId="2" borderId="0" xfId="0" applyFont="1" applyFill="1" applyAlignment="1">
      <alignment horizontal="right"/>
    </xf>
    <xf numFmtId="0" fontId="14" fillId="2" borderId="8" xfId="0" applyFont="1" applyFill="1" applyBorder="1" applyAlignment="1">
      <alignment horizontal="right"/>
    </xf>
    <xf numFmtId="0" fontId="18" fillId="2" borderId="0" xfId="0" applyFont="1" applyFill="1" applyAlignment="1">
      <alignment horizontal="center"/>
    </xf>
    <xf numFmtId="0" fontId="18" fillId="2" borderId="6" xfId="0" applyFont="1" applyFill="1" applyBorder="1" applyAlignment="1">
      <alignment horizontal="center"/>
    </xf>
    <xf numFmtId="0" fontId="18" fillId="2" borderId="7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10" fontId="18" fillId="2" borderId="8" xfId="0" applyNumberFormat="1" applyFont="1" applyFill="1" applyBorder="1" applyAlignment="1">
      <alignment horizontal="center"/>
    </xf>
    <xf numFmtId="10" fontId="18" fillId="2" borderId="6" xfId="0" applyNumberFormat="1" applyFont="1" applyFill="1" applyBorder="1" applyAlignment="1">
      <alignment horizontal="center"/>
    </xf>
    <xf numFmtId="10" fontId="18" fillId="2" borderId="0" xfId="0" applyNumberFormat="1" applyFont="1" applyFill="1" applyAlignment="1">
      <alignment horizontal="center"/>
    </xf>
    <xf numFmtId="0" fontId="14" fillId="8" borderId="6" xfId="0" applyFont="1" applyFill="1" applyBorder="1" applyAlignment="1">
      <alignment horizontal="right"/>
    </xf>
    <xf numFmtId="0" fontId="16" fillId="0" borderId="13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12" xfId="0" applyFont="1" applyBorder="1" applyAlignment="1">
      <alignment horizontal="center" wrapText="1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4" fillId="0" borderId="10" xfId="0" applyFont="1" applyBorder="1" applyAlignment="1">
      <alignment horizontal="right"/>
    </xf>
    <xf numFmtId="0" fontId="14" fillId="0" borderId="9" xfId="0" applyFont="1" applyBorder="1" applyAlignment="1">
      <alignment horizontal="right"/>
    </xf>
    <xf numFmtId="0" fontId="14" fillId="0" borderId="12" xfId="0" applyFont="1" applyBorder="1" applyAlignment="1">
      <alignment horizontal="right"/>
    </xf>
    <xf numFmtId="0" fontId="18" fillId="0" borderId="9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18" fillId="0" borderId="12" xfId="0" applyFont="1" applyBorder="1" applyAlignment="1">
      <alignment horizontal="center"/>
    </xf>
    <xf numFmtId="10" fontId="18" fillId="5" borderId="12" xfId="0" applyNumberFormat="1" applyFont="1" applyFill="1" applyBorder="1" applyAlignment="1">
      <alignment horizontal="center"/>
    </xf>
    <xf numFmtId="0" fontId="18" fillId="5" borderId="10" xfId="0" applyFont="1" applyFill="1" applyBorder="1" applyAlignment="1">
      <alignment horizontal="center"/>
    </xf>
    <xf numFmtId="10" fontId="18" fillId="5" borderId="10" xfId="0" applyNumberFormat="1" applyFont="1" applyFill="1" applyBorder="1" applyAlignment="1">
      <alignment horizontal="center"/>
    </xf>
    <xf numFmtId="0" fontId="18" fillId="5" borderId="9" xfId="0" applyFont="1" applyFill="1" applyBorder="1" applyAlignment="1">
      <alignment horizontal="center"/>
    </xf>
    <xf numFmtId="10" fontId="18" fillId="5" borderId="9" xfId="0" applyNumberFormat="1" applyFont="1" applyFill="1" applyBorder="1" applyAlignment="1">
      <alignment horizontal="center"/>
    </xf>
    <xf numFmtId="0" fontId="2" fillId="0" borderId="0" xfId="0" applyFont="1"/>
    <xf numFmtId="0" fontId="3" fillId="0" borderId="7" xfId="0" applyFont="1" applyBorder="1"/>
    <xf numFmtId="0" fontId="3" fillId="0" borderId="0" xfId="0" applyFont="1" applyAlignment="1">
      <alignment horizontal="right"/>
    </xf>
    <xf numFmtId="0" fontId="3" fillId="0" borderId="13" xfId="0" applyFont="1" applyBorder="1"/>
    <xf numFmtId="0" fontId="20" fillId="0" borderId="16" xfId="0" applyFont="1" applyBorder="1" applyAlignment="1">
      <alignment wrapText="1"/>
    </xf>
    <xf numFmtId="0" fontId="21" fillId="0" borderId="16" xfId="0" applyFont="1" applyBorder="1" applyAlignment="1">
      <alignment wrapText="1"/>
    </xf>
    <xf numFmtId="0" fontId="20" fillId="0" borderId="0" xfId="0" applyFont="1"/>
    <xf numFmtId="0" fontId="20" fillId="0" borderId="16" xfId="0" applyFont="1" applyBorder="1" applyAlignment="1">
      <alignment horizontal="right" wrapText="1"/>
    </xf>
    <xf numFmtId="0" fontId="22" fillId="6" borderId="7" xfId="0" applyFont="1" applyFill="1" applyBorder="1" applyAlignment="1">
      <alignment horizontal="center"/>
    </xf>
    <xf numFmtId="0" fontId="23" fillId="6" borderId="7" xfId="0" applyFont="1" applyFill="1" applyBorder="1" applyAlignment="1">
      <alignment horizontal="center"/>
    </xf>
    <xf numFmtId="0" fontId="20" fillId="0" borderId="0" xfId="0" applyFont="1" applyAlignment="1">
      <alignment wrapText="1"/>
    </xf>
    <xf numFmtId="0" fontId="20" fillId="0" borderId="17" xfId="0" applyFont="1" applyBorder="1" applyAlignment="1">
      <alignment wrapText="1"/>
    </xf>
    <xf numFmtId="0" fontId="20" fillId="11" borderId="0" xfId="0" applyFont="1" applyFill="1"/>
    <xf numFmtId="0" fontId="21" fillId="12" borderId="16" xfId="0" applyFont="1" applyFill="1" applyBorder="1" applyAlignment="1">
      <alignment wrapText="1"/>
    </xf>
    <xf numFmtId="0" fontId="21" fillId="0" borderId="0" xfId="0" applyFont="1"/>
    <xf numFmtId="164" fontId="20" fillId="0" borderId="16" xfId="0" applyNumberFormat="1" applyFont="1" applyBorder="1" applyAlignment="1">
      <alignment wrapText="1"/>
    </xf>
    <xf numFmtId="0" fontId="21" fillId="0" borderId="17" xfId="0" applyFont="1" applyBorder="1" applyAlignment="1">
      <alignment wrapText="1"/>
    </xf>
    <xf numFmtId="164" fontId="0" fillId="0" borderId="0" xfId="0" applyNumberFormat="1"/>
    <xf numFmtId="0" fontId="24" fillId="0" borderId="0" xfId="0" applyFont="1"/>
    <xf numFmtId="0" fontId="25" fillId="6" borderId="8" xfId="0" applyFont="1" applyFill="1" applyBorder="1" applyAlignment="1">
      <alignment horizontal="center"/>
    </xf>
    <xf numFmtId="0" fontId="21" fillId="0" borderId="0" xfId="0" applyFont="1" applyAlignment="1">
      <alignment wrapText="1"/>
    </xf>
    <xf numFmtId="0" fontId="9" fillId="0" borderId="13" xfId="0" applyFont="1" applyBorder="1" applyAlignment="1">
      <alignment horizontal="center" wrapText="1"/>
    </xf>
    <xf numFmtId="0" fontId="10" fillId="0" borderId="13" xfId="0" applyFont="1" applyBorder="1" applyAlignment="1">
      <alignment wrapText="1"/>
    </xf>
    <xf numFmtId="0" fontId="9" fillId="0" borderId="10" xfId="0" applyFont="1" applyBorder="1" applyAlignment="1">
      <alignment horizontal="center" wrapText="1"/>
    </xf>
    <xf numFmtId="0" fontId="9" fillId="0" borderId="9" xfId="0" applyFont="1" applyBorder="1" applyAlignment="1">
      <alignment horizontal="center" wrapText="1"/>
    </xf>
    <xf numFmtId="0" fontId="9" fillId="2" borderId="9" xfId="0" applyFont="1" applyFill="1" applyBorder="1" applyAlignment="1">
      <alignment horizontal="center" wrapText="1"/>
    </xf>
    <xf numFmtId="0" fontId="9" fillId="0" borderId="12" xfId="0" applyFont="1" applyBorder="1" applyAlignment="1">
      <alignment horizontal="center" wrapText="1"/>
    </xf>
    <xf numFmtId="0" fontId="2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164" fontId="20" fillId="0" borderId="16" xfId="0" applyNumberFormat="1" applyFont="1" applyBorder="1" applyAlignment="1">
      <alignment horizontal="right" wrapText="1"/>
    </xf>
    <xf numFmtId="0" fontId="21" fillId="0" borderId="16" xfId="0" applyFont="1" applyBorder="1" applyAlignment="1">
      <alignment horizontal="right" wrapText="1"/>
    </xf>
    <xf numFmtId="0" fontId="21" fillId="0" borderId="0" xfId="0" applyFont="1" applyAlignment="1">
      <alignment horizontal="right"/>
    </xf>
    <xf numFmtId="0" fontId="20" fillId="0" borderId="0" xfId="0" applyFont="1" applyAlignment="1">
      <alignment horizontal="right"/>
    </xf>
    <xf numFmtId="0" fontId="0" fillId="0" borderId="0" xfId="0" applyAlignment="1">
      <alignment horizontal="left"/>
    </xf>
    <xf numFmtId="0" fontId="20" fillId="0" borderId="16" xfId="0" applyFont="1" applyBorder="1" applyAlignment="1">
      <alignment horizontal="left" wrapText="1"/>
    </xf>
    <xf numFmtId="0" fontId="21" fillId="0" borderId="16" xfId="0" applyFont="1" applyBorder="1" applyAlignment="1">
      <alignment horizontal="left" wrapText="1"/>
    </xf>
    <xf numFmtId="0" fontId="21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0" fillId="11" borderId="0" xfId="0" applyFill="1" applyAlignment="1">
      <alignment horizontal="right"/>
    </xf>
    <xf numFmtId="0" fontId="13" fillId="0" borderId="1" xfId="0" applyFont="1" applyBorder="1" applyAlignment="1">
      <alignment horizontal="center" vertical="center" wrapText="1"/>
    </xf>
    <xf numFmtId="0" fontId="7" fillId="0" borderId="2" xfId="0" applyFont="1" applyBorder="1"/>
    <xf numFmtId="0" fontId="7" fillId="0" borderId="3" xfId="0" applyFont="1" applyBorder="1"/>
    <xf numFmtId="0" fontId="13" fillId="0" borderId="1" xfId="0" applyFont="1" applyBorder="1" applyAlignment="1">
      <alignment horizontal="center" wrapText="1"/>
    </xf>
    <xf numFmtId="0" fontId="14" fillId="0" borderId="14" xfId="0" applyFont="1" applyBorder="1" applyAlignment="1">
      <alignment horizontal="center"/>
    </xf>
    <xf numFmtId="0" fontId="7" fillId="0" borderId="14" xfId="0" applyFont="1" applyBorder="1"/>
    <xf numFmtId="0" fontId="9" fillId="0" borderId="9" xfId="0" applyFont="1" applyBorder="1" applyAlignment="1">
      <alignment horizontal="center" wrapText="1"/>
    </xf>
    <xf numFmtId="0" fontId="7" fillId="0" borderId="9" xfId="0" applyFont="1" applyBorder="1"/>
    <xf numFmtId="0" fontId="7" fillId="0" borderId="12" xfId="0" applyFont="1" applyBorder="1"/>
    <xf numFmtId="0" fontId="5" fillId="0" borderId="0" xfId="0" applyFont="1" applyAlignment="1">
      <alignment horizontal="center"/>
    </xf>
    <xf numFmtId="0" fontId="0" fillId="0" borderId="0" xfId="0"/>
    <xf numFmtId="0" fontId="10" fillId="3" borderId="0" xfId="0" applyFont="1" applyFill="1" applyAlignment="1">
      <alignment horizontal="center" wrapText="1"/>
    </xf>
    <xf numFmtId="0" fontId="10" fillId="4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2" fillId="0" borderId="11" xfId="0" applyFont="1" applyBorder="1" applyAlignment="1">
      <alignment horizontal="center"/>
    </xf>
    <xf numFmtId="0" fontId="7" fillId="0" borderId="15" xfId="0" applyFont="1" applyBorder="1"/>
    <xf numFmtId="0" fontId="6" fillId="0" borderId="0" xfId="0" applyFont="1" applyAlignment="1">
      <alignment horizontal="center" wrapText="1"/>
    </xf>
    <xf numFmtId="0" fontId="8" fillId="0" borderId="11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7" fillId="0" borderId="0" xfId="0" applyFont="1" applyBorder="1"/>
    <xf numFmtId="0" fontId="13" fillId="0" borderId="0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  <outlinePr summaryBelow="0" summaryRight="0"/>
  </sheetPr>
  <dimension ref="A2:CI1003"/>
  <sheetViews>
    <sheetView tabSelected="1" topLeftCell="AA6" workbookViewId="0">
      <selection activeCell="AQ10" sqref="AQ10"/>
    </sheetView>
  </sheetViews>
  <sheetFormatPr defaultColWidth="12.6640625" defaultRowHeight="13.2" x14ac:dyDescent="0.25"/>
  <cols>
    <col min="1" max="1" width="22.6640625" customWidth="1"/>
    <col min="2" max="2" width="12.6640625" customWidth="1"/>
    <col min="3" max="3" width="9.33203125" customWidth="1"/>
    <col min="4" max="4" width="19.33203125" bestFit="1" customWidth="1"/>
    <col min="5" max="5" width="9.6640625" customWidth="1"/>
    <col min="6" max="6" width="6.44140625" customWidth="1"/>
    <col min="7" max="7" width="8.6640625" customWidth="1"/>
    <col min="8" max="8" width="4.6640625" customWidth="1"/>
    <col min="9" max="9" width="9.44140625" customWidth="1"/>
    <col min="10" max="10" width="8.6640625" customWidth="1"/>
    <col min="11" max="11" width="12.6640625" customWidth="1"/>
    <col min="12" max="12" width="15.88671875" customWidth="1"/>
    <col min="13" max="13" width="12" customWidth="1"/>
    <col min="14" max="14" width="11.6640625" customWidth="1"/>
    <col min="15" max="16" width="8.6640625" customWidth="1"/>
    <col min="17" max="17" width="10.6640625" customWidth="1"/>
    <col min="18" max="18" width="9.109375" customWidth="1"/>
    <col min="19" max="19" width="15.6640625" customWidth="1"/>
    <col min="26" max="32" width="8.44140625" customWidth="1"/>
    <col min="33" max="39" width="9" customWidth="1"/>
    <col min="40" max="45" width="8.6640625" customWidth="1"/>
    <col min="46" max="46" width="9.109375" customWidth="1"/>
    <col min="47" max="47" width="8.6640625" customWidth="1"/>
    <col min="48" max="62" width="5.33203125" customWidth="1"/>
    <col min="63" max="78" width="11.6640625" customWidth="1"/>
    <col min="79" max="87" width="10.88671875" customWidth="1"/>
  </cols>
  <sheetData>
    <row r="2" spans="1:87" ht="16.8" x14ac:dyDescent="0.3">
      <c r="C2" s="1"/>
      <c r="D2" s="1"/>
      <c r="E2" s="1">
        <v>5</v>
      </c>
      <c r="F2" s="1"/>
      <c r="G2" s="1"/>
      <c r="H2" s="2"/>
      <c r="I2" s="2"/>
      <c r="J2" s="3"/>
      <c r="K2" s="2"/>
      <c r="L2" s="2"/>
      <c r="N2">
        <v>14</v>
      </c>
      <c r="O2" s="4"/>
      <c r="P2" s="259" t="s">
        <v>0</v>
      </c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256"/>
      <c r="AI2" s="256"/>
      <c r="AJ2" s="256"/>
      <c r="AK2" s="256"/>
      <c r="AL2" s="256"/>
      <c r="AM2" s="256"/>
      <c r="AN2" s="256"/>
      <c r="AO2" s="256"/>
      <c r="AP2" s="256"/>
      <c r="AQ2" s="256"/>
      <c r="AR2" s="256"/>
      <c r="AS2" s="256"/>
      <c r="AT2" s="256"/>
      <c r="AU2" s="256"/>
      <c r="AV2" s="256"/>
      <c r="AW2" s="256"/>
      <c r="AX2" s="256"/>
      <c r="AY2" s="256"/>
      <c r="AZ2" s="256"/>
      <c r="BA2" s="256"/>
      <c r="BB2" s="256"/>
      <c r="BC2" s="256"/>
      <c r="BD2" s="256"/>
      <c r="BE2" s="256"/>
      <c r="BF2" s="256"/>
      <c r="BG2" s="256"/>
      <c r="BH2" s="256"/>
      <c r="BI2" s="256"/>
      <c r="BJ2" s="256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6"/>
      <c r="CB2" s="6"/>
      <c r="CC2" s="6"/>
      <c r="CD2" s="6"/>
      <c r="CE2" s="6"/>
      <c r="CF2" s="6"/>
      <c r="CG2" s="6"/>
      <c r="CH2" s="6"/>
      <c r="CI2" s="6"/>
    </row>
    <row r="3" spans="1:87" ht="15.6" x14ac:dyDescent="0.3">
      <c r="C3" s="260" t="s">
        <v>1</v>
      </c>
      <c r="D3" s="251"/>
      <c r="E3" s="251"/>
      <c r="F3" s="251"/>
      <c r="G3" s="261"/>
      <c r="H3" s="7"/>
      <c r="I3" s="2"/>
      <c r="J3" s="262" t="s">
        <v>2</v>
      </c>
      <c r="K3" s="256"/>
      <c r="L3" s="256"/>
      <c r="Q3" s="263" t="s">
        <v>3</v>
      </c>
      <c r="R3" s="251"/>
      <c r="S3" s="261"/>
      <c r="T3" s="264" t="s">
        <v>4</v>
      </c>
      <c r="U3" s="251"/>
      <c r="V3" s="251"/>
      <c r="W3" s="251"/>
      <c r="X3" s="251"/>
      <c r="Y3" s="261"/>
      <c r="Z3" s="255" t="s">
        <v>5</v>
      </c>
      <c r="AA3" s="256"/>
      <c r="AB3" s="256"/>
      <c r="AC3" s="256"/>
      <c r="AD3" s="256"/>
      <c r="AE3" s="256"/>
      <c r="AF3" s="256"/>
      <c r="AG3" s="256"/>
      <c r="AH3" s="256"/>
      <c r="AI3" s="256"/>
      <c r="AJ3" s="256"/>
      <c r="AK3" s="256"/>
      <c r="AL3" s="256"/>
      <c r="AM3" s="256"/>
      <c r="AN3" s="256"/>
      <c r="AO3" s="256"/>
      <c r="AP3" s="256"/>
      <c r="AQ3" s="256"/>
      <c r="AR3" s="256"/>
      <c r="AS3" s="256"/>
      <c r="AT3" s="256"/>
      <c r="BR3" s="5"/>
      <c r="BS3" s="255" t="s">
        <v>6</v>
      </c>
      <c r="BT3" s="256"/>
      <c r="BU3" s="256"/>
      <c r="BV3" s="256"/>
      <c r="BW3" s="256"/>
      <c r="BX3" s="256"/>
      <c r="BY3" s="256"/>
      <c r="BZ3" s="256"/>
      <c r="CA3" s="256"/>
      <c r="CB3" s="256"/>
      <c r="CC3" s="256"/>
      <c r="CD3" s="256"/>
      <c r="CE3" s="256"/>
      <c r="CF3" s="256"/>
      <c r="CG3" s="256"/>
      <c r="CH3" s="256"/>
      <c r="CI3" s="256"/>
    </row>
    <row r="4" spans="1:87" s="233" customFormat="1" ht="13.8" x14ac:dyDescent="0.25">
      <c r="A4" s="233">
        <v>1</v>
      </c>
      <c r="B4" s="233">
        <v>2</v>
      </c>
      <c r="C4" s="234">
        <v>3</v>
      </c>
      <c r="D4" s="233">
        <v>4</v>
      </c>
      <c r="E4" s="233">
        <v>5</v>
      </c>
      <c r="F4" s="234">
        <v>6</v>
      </c>
      <c r="G4" s="233">
        <v>7</v>
      </c>
      <c r="H4" s="233">
        <v>8</v>
      </c>
      <c r="I4" s="234">
        <v>9</v>
      </c>
      <c r="J4" s="233">
        <v>10</v>
      </c>
      <c r="K4" s="233">
        <v>11</v>
      </c>
      <c r="L4" s="234">
        <v>12</v>
      </c>
      <c r="M4" s="233">
        <v>13</v>
      </c>
      <c r="N4" s="233">
        <v>14</v>
      </c>
      <c r="O4" s="234">
        <v>15</v>
      </c>
      <c r="P4" s="233">
        <v>16</v>
      </c>
      <c r="Q4" s="233">
        <v>17</v>
      </c>
      <c r="R4" s="234">
        <v>18</v>
      </c>
      <c r="S4" s="233">
        <v>19</v>
      </c>
      <c r="T4" s="233">
        <v>20</v>
      </c>
      <c r="U4" s="234">
        <v>21</v>
      </c>
      <c r="V4" s="233">
        <v>22</v>
      </c>
      <c r="W4" s="233">
        <v>23</v>
      </c>
      <c r="X4" s="234">
        <v>24</v>
      </c>
      <c r="Y4" s="233">
        <v>25</v>
      </c>
      <c r="Z4" s="233">
        <v>26</v>
      </c>
      <c r="AA4" s="234">
        <v>27</v>
      </c>
      <c r="AB4" s="233">
        <v>28</v>
      </c>
      <c r="AC4" s="233">
        <v>29</v>
      </c>
      <c r="AD4" s="234">
        <v>30</v>
      </c>
      <c r="AE4" s="233">
        <v>31</v>
      </c>
      <c r="AF4" s="233">
        <v>32</v>
      </c>
      <c r="AG4" s="234">
        <v>33</v>
      </c>
      <c r="AH4" s="233">
        <v>34</v>
      </c>
      <c r="AI4" s="233">
        <v>35</v>
      </c>
      <c r="AJ4" s="234">
        <v>36</v>
      </c>
      <c r="AK4" s="233">
        <v>37</v>
      </c>
      <c r="AL4" s="233">
        <v>38</v>
      </c>
      <c r="AM4" s="234">
        <v>39</v>
      </c>
      <c r="AN4" s="233">
        <v>40</v>
      </c>
      <c r="AO4" s="233">
        <v>41</v>
      </c>
      <c r="AP4" s="234">
        <v>42</v>
      </c>
      <c r="AQ4" s="233">
        <v>43</v>
      </c>
      <c r="AR4" s="233">
        <v>44</v>
      </c>
      <c r="AS4" s="234">
        <v>45</v>
      </c>
      <c r="AT4" s="233">
        <v>46</v>
      </c>
      <c r="AV4" s="233">
        <v>47</v>
      </c>
      <c r="AW4" s="234">
        <v>48</v>
      </c>
      <c r="AX4" s="233">
        <v>49</v>
      </c>
      <c r="AY4" s="233">
        <v>50</v>
      </c>
      <c r="AZ4" s="234">
        <v>51</v>
      </c>
      <c r="BA4" s="233">
        <v>52</v>
      </c>
      <c r="BB4" s="233">
        <v>53</v>
      </c>
      <c r="BC4" s="234">
        <v>54</v>
      </c>
      <c r="BD4" s="233">
        <v>55</v>
      </c>
      <c r="BE4" s="233">
        <v>56</v>
      </c>
      <c r="BF4" s="234">
        <v>57</v>
      </c>
      <c r="BG4" s="233">
        <v>58</v>
      </c>
      <c r="BH4" s="233">
        <v>59</v>
      </c>
      <c r="BI4" s="234">
        <v>60</v>
      </c>
      <c r="BJ4" s="233">
        <v>61</v>
      </c>
      <c r="BK4" s="233">
        <v>62</v>
      </c>
      <c r="BL4" s="234">
        <v>63</v>
      </c>
      <c r="BM4" s="233">
        <v>64</v>
      </c>
      <c r="BN4" s="233">
        <v>65</v>
      </c>
      <c r="BO4" s="234">
        <v>66</v>
      </c>
      <c r="BP4" s="233">
        <v>67</v>
      </c>
      <c r="BQ4" s="233">
        <v>68</v>
      </c>
      <c r="BR4" s="234">
        <v>69</v>
      </c>
      <c r="BS4" s="233">
        <v>70</v>
      </c>
      <c r="BT4" s="233">
        <v>71</v>
      </c>
      <c r="BU4" s="234">
        <v>72</v>
      </c>
      <c r="BV4" s="233">
        <v>73</v>
      </c>
      <c r="BW4" s="233">
        <v>74</v>
      </c>
      <c r="BX4" s="234">
        <v>75</v>
      </c>
      <c r="BY4" s="233">
        <v>76</v>
      </c>
      <c r="BZ4" s="233">
        <v>77</v>
      </c>
      <c r="CA4" s="234">
        <v>78</v>
      </c>
      <c r="CB4" s="233">
        <v>79</v>
      </c>
      <c r="CC4" s="233">
        <v>80</v>
      </c>
      <c r="CD4" s="234">
        <v>81</v>
      </c>
      <c r="CE4" s="233">
        <v>82</v>
      </c>
      <c r="CF4" s="233">
        <v>83</v>
      </c>
      <c r="CG4" s="234">
        <v>84</v>
      </c>
      <c r="CH4" s="233">
        <v>85</v>
      </c>
      <c r="CI4" s="233">
        <v>86</v>
      </c>
    </row>
    <row r="5" spans="1:87" ht="55.2" x14ac:dyDescent="0.25">
      <c r="A5" s="227" t="s">
        <v>7</v>
      </c>
      <c r="B5" s="228" t="s">
        <v>8</v>
      </c>
      <c r="C5" s="229" t="s">
        <v>9</v>
      </c>
      <c r="D5" s="227" t="s">
        <v>10</v>
      </c>
      <c r="E5" s="227" t="s">
        <v>11</v>
      </c>
      <c r="F5" s="227" t="s">
        <v>12</v>
      </c>
      <c r="G5" s="227" t="s">
        <v>13</v>
      </c>
      <c r="H5" s="227"/>
      <c r="I5" s="227" t="s">
        <v>14</v>
      </c>
      <c r="J5" s="227" t="s">
        <v>15</v>
      </c>
      <c r="K5" s="227" t="s">
        <v>16</v>
      </c>
      <c r="L5" s="227" t="s">
        <v>17</v>
      </c>
      <c r="M5" s="8"/>
      <c r="N5" s="9" t="s">
        <v>18</v>
      </c>
      <c r="O5" s="10"/>
      <c r="P5" s="227" t="s">
        <v>19</v>
      </c>
      <c r="Q5" s="230" t="s">
        <v>20</v>
      </c>
      <c r="R5" s="231" t="s">
        <v>21</v>
      </c>
      <c r="S5" s="232" t="s">
        <v>22</v>
      </c>
      <c r="T5" s="252" t="s">
        <v>23</v>
      </c>
      <c r="U5" s="253"/>
      <c r="V5" s="254"/>
      <c r="W5" s="252" t="s">
        <v>24</v>
      </c>
      <c r="X5" s="253"/>
      <c r="Y5" s="254"/>
      <c r="Z5" s="257" t="s">
        <v>25</v>
      </c>
      <c r="AA5" s="256"/>
      <c r="AB5" s="256"/>
      <c r="AC5" s="256"/>
      <c r="AD5" s="256"/>
      <c r="AE5" s="256"/>
      <c r="AF5" s="256"/>
      <c r="AG5" s="256"/>
      <c r="AH5" s="256"/>
      <c r="AI5" s="256"/>
      <c r="AJ5" s="256"/>
      <c r="AK5" s="256"/>
      <c r="AL5" s="256"/>
      <c r="AM5" s="256"/>
      <c r="AN5" s="256"/>
      <c r="AO5" s="256"/>
      <c r="AP5" s="256"/>
      <c r="AQ5" s="256"/>
      <c r="AR5" s="256"/>
      <c r="AS5" s="256"/>
      <c r="AT5" s="256"/>
      <c r="AV5" s="257" t="s">
        <v>26</v>
      </c>
      <c r="AW5" s="256"/>
      <c r="AX5" s="256"/>
      <c r="AY5" s="256"/>
      <c r="AZ5" s="256"/>
      <c r="BA5" s="256"/>
      <c r="BB5" s="256"/>
      <c r="BC5" s="256"/>
      <c r="BD5" s="256"/>
      <c r="BE5" s="256"/>
      <c r="BF5" s="256"/>
      <c r="BG5" s="256"/>
      <c r="BH5" s="256"/>
      <c r="BI5" s="256"/>
      <c r="BJ5" s="256"/>
      <c r="BK5" s="11"/>
      <c r="BL5" s="11"/>
      <c r="BM5" s="11"/>
      <c r="BN5" s="11"/>
      <c r="BO5" s="11"/>
      <c r="BP5" s="11"/>
      <c r="BQ5" s="11"/>
      <c r="BR5" s="11"/>
      <c r="BS5" s="257" t="s">
        <v>27</v>
      </c>
      <c r="BT5" s="256"/>
      <c r="BU5" s="256"/>
      <c r="BV5" s="256"/>
      <c r="BW5" s="257" t="s">
        <v>28</v>
      </c>
      <c r="BX5" s="256"/>
      <c r="BY5" s="256"/>
      <c r="BZ5" s="256"/>
      <c r="CA5" s="12"/>
      <c r="CB5" s="258" t="s">
        <v>29</v>
      </c>
      <c r="CC5" s="256"/>
      <c r="CD5" s="258" t="s">
        <v>30</v>
      </c>
      <c r="CE5" s="256"/>
      <c r="CF5" s="256"/>
      <c r="CG5" s="256"/>
      <c r="CH5" s="256"/>
      <c r="CI5" s="256"/>
    </row>
    <row r="6" spans="1:87" ht="52.8" x14ac:dyDescent="0.25">
      <c r="A6" s="13"/>
      <c r="B6" s="14"/>
      <c r="C6" s="14"/>
      <c r="D6" s="15"/>
      <c r="E6" s="16"/>
      <c r="F6" s="16"/>
      <c r="G6" s="16"/>
      <c r="H6" s="15"/>
      <c r="I6" s="16"/>
      <c r="J6" s="16"/>
      <c r="K6" s="16"/>
      <c r="L6" s="16" t="s">
        <v>31</v>
      </c>
      <c r="M6" s="17"/>
      <c r="N6" s="18" t="s">
        <v>32</v>
      </c>
      <c r="O6" s="18" t="s">
        <v>147</v>
      </c>
      <c r="P6" s="15"/>
      <c r="Q6" s="3"/>
      <c r="R6" s="3"/>
      <c r="S6" s="3"/>
      <c r="T6" s="19" t="s">
        <v>33</v>
      </c>
      <c r="U6" s="19" t="s">
        <v>34</v>
      </c>
      <c r="V6" s="19" t="s">
        <v>35</v>
      </c>
      <c r="W6" s="20" t="s">
        <v>33</v>
      </c>
      <c r="X6" s="21" t="s">
        <v>34</v>
      </c>
      <c r="Y6" s="21" t="s">
        <v>35</v>
      </c>
      <c r="Z6" s="249" t="s">
        <v>36</v>
      </c>
      <c r="AA6" s="247"/>
      <c r="AB6" s="247"/>
      <c r="AC6" s="247"/>
      <c r="AD6" s="247"/>
      <c r="AE6" s="247"/>
      <c r="AF6" s="248"/>
      <c r="AG6" s="249" t="s">
        <v>37</v>
      </c>
      <c r="AH6" s="247"/>
      <c r="AI6" s="247"/>
      <c r="AJ6" s="247"/>
      <c r="AK6" s="247"/>
      <c r="AL6" s="247"/>
      <c r="AM6" s="248"/>
      <c r="AN6" s="249" t="s">
        <v>38</v>
      </c>
      <c r="AO6" s="247"/>
      <c r="AP6" s="247"/>
      <c r="AQ6" s="247"/>
      <c r="AR6" s="247"/>
      <c r="AS6" s="247"/>
      <c r="AT6" s="248"/>
      <c r="AU6" s="265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17"/>
      <c r="BL6" s="246" t="s">
        <v>39</v>
      </c>
      <c r="BM6" s="247"/>
      <c r="BN6" s="247"/>
      <c r="BO6" s="247"/>
      <c r="BP6" s="247"/>
      <c r="BQ6" s="248"/>
      <c r="BR6" s="23"/>
      <c r="BS6" s="18" t="s">
        <v>40</v>
      </c>
      <c r="BT6" s="19" t="s">
        <v>41</v>
      </c>
      <c r="BU6" s="24" t="s">
        <v>42</v>
      </c>
      <c r="BV6" s="19" t="s">
        <v>43</v>
      </c>
      <c r="BW6" s="18" t="s">
        <v>44</v>
      </c>
      <c r="BX6" s="18" t="s">
        <v>45</v>
      </c>
      <c r="BY6" s="25" t="s">
        <v>46</v>
      </c>
      <c r="BZ6" s="19" t="s">
        <v>43</v>
      </c>
      <c r="CA6" s="18"/>
      <c r="CB6" s="18" t="s">
        <v>47</v>
      </c>
      <c r="CC6" s="19" t="s">
        <v>48</v>
      </c>
      <c r="CD6" s="19" t="s">
        <v>49</v>
      </c>
      <c r="CE6" s="24" t="s">
        <v>50</v>
      </c>
      <c r="CF6" s="19" t="s">
        <v>33</v>
      </c>
      <c r="CG6" s="26" t="s">
        <v>51</v>
      </c>
      <c r="CH6" s="26" t="s">
        <v>52</v>
      </c>
      <c r="CI6" s="19" t="s">
        <v>43</v>
      </c>
    </row>
    <row r="7" spans="1:87" ht="105.6" x14ac:dyDescent="0.25">
      <c r="A7" s="13"/>
      <c r="B7" s="27"/>
      <c r="C7" s="27"/>
      <c r="D7" s="28"/>
      <c r="E7" s="29"/>
      <c r="F7" s="29"/>
      <c r="G7" s="29"/>
      <c r="H7" s="28"/>
      <c r="I7" s="29"/>
      <c r="J7" s="29"/>
      <c r="K7" s="29"/>
      <c r="L7" s="30"/>
      <c r="M7" s="31" t="s">
        <v>53</v>
      </c>
      <c r="N7" s="32"/>
      <c r="O7" s="32"/>
      <c r="P7" s="28"/>
      <c r="Q7" s="33"/>
      <c r="R7" s="33"/>
      <c r="S7" s="34"/>
      <c r="T7" s="33"/>
      <c r="U7" s="33"/>
      <c r="V7" s="33"/>
      <c r="W7" s="33"/>
      <c r="X7" s="33"/>
      <c r="Y7" s="33"/>
      <c r="Z7" s="35" t="s">
        <v>54</v>
      </c>
      <c r="AA7" s="36" t="s">
        <v>55</v>
      </c>
      <c r="AB7" s="36" t="s">
        <v>56</v>
      </c>
      <c r="AC7" s="36" t="s">
        <v>57</v>
      </c>
      <c r="AD7" s="36" t="s">
        <v>58</v>
      </c>
      <c r="AE7" s="36" t="s">
        <v>59</v>
      </c>
      <c r="AF7" s="37" t="s">
        <v>60</v>
      </c>
      <c r="AG7" s="38" t="s">
        <v>54</v>
      </c>
      <c r="AH7" s="38" t="s">
        <v>55</v>
      </c>
      <c r="AI7" s="38" t="s">
        <v>56</v>
      </c>
      <c r="AJ7" s="38" t="s">
        <v>57</v>
      </c>
      <c r="AK7" s="38" t="s">
        <v>58</v>
      </c>
      <c r="AL7" s="38" t="s">
        <v>59</v>
      </c>
      <c r="AM7" s="38" t="s">
        <v>60</v>
      </c>
      <c r="AN7" s="39" t="s">
        <v>54</v>
      </c>
      <c r="AO7" s="36" t="s">
        <v>55</v>
      </c>
      <c r="AP7" s="36" t="s">
        <v>56</v>
      </c>
      <c r="AQ7" s="36" t="s">
        <v>57</v>
      </c>
      <c r="AR7" s="36" t="s">
        <v>58</v>
      </c>
      <c r="AS7" s="36" t="s">
        <v>59</v>
      </c>
      <c r="AT7" s="37" t="s">
        <v>255</v>
      </c>
      <c r="AU7" s="266"/>
      <c r="AV7" s="249" t="s">
        <v>38</v>
      </c>
      <c r="AW7" s="247"/>
      <c r="AX7" s="248"/>
      <c r="AY7" s="249" t="s">
        <v>37</v>
      </c>
      <c r="AZ7" s="247"/>
      <c r="BA7" s="248"/>
      <c r="BB7" s="249" t="s">
        <v>36</v>
      </c>
      <c r="BC7" s="247"/>
      <c r="BD7" s="248"/>
      <c r="BE7" s="249" t="s">
        <v>37</v>
      </c>
      <c r="BF7" s="247"/>
      <c r="BG7" s="248"/>
      <c r="BH7" s="249" t="s">
        <v>38</v>
      </c>
      <c r="BI7" s="247"/>
      <c r="BJ7" s="248"/>
      <c r="BK7" s="32"/>
      <c r="BL7" s="35" t="s">
        <v>54</v>
      </c>
      <c r="BM7" s="36" t="s">
        <v>55</v>
      </c>
      <c r="BN7" s="36" t="s">
        <v>56</v>
      </c>
      <c r="BO7" s="36" t="s">
        <v>57</v>
      </c>
      <c r="BP7" s="36" t="s">
        <v>58</v>
      </c>
      <c r="BQ7" s="37" t="s">
        <v>59</v>
      </c>
      <c r="BR7" s="31"/>
      <c r="BS7" s="32"/>
      <c r="BT7" s="40"/>
      <c r="BU7" s="34"/>
      <c r="BV7" s="41"/>
      <c r="BW7" s="32"/>
      <c r="BX7" s="32"/>
      <c r="BY7" s="42"/>
      <c r="BZ7" s="42"/>
      <c r="CA7" s="32"/>
      <c r="CB7" s="32"/>
      <c r="CC7" s="40"/>
      <c r="CD7" s="40"/>
      <c r="CE7" s="33"/>
      <c r="CF7" s="40"/>
      <c r="CG7" s="43"/>
      <c r="CH7" s="43"/>
      <c r="CI7" s="43"/>
    </row>
    <row r="8" spans="1:87" ht="13.8" x14ac:dyDescent="0.25">
      <c r="A8" s="44"/>
      <c r="B8" s="45"/>
      <c r="C8" s="45"/>
      <c r="D8" s="46"/>
      <c r="E8" s="47"/>
      <c r="F8" s="47"/>
      <c r="G8" s="47"/>
      <c r="H8" s="46"/>
      <c r="I8" s="47"/>
      <c r="J8" s="48"/>
      <c r="K8" s="47"/>
      <c r="L8" s="49"/>
      <c r="M8" s="50"/>
      <c r="N8" s="45" t="s">
        <v>61</v>
      </c>
      <c r="O8" s="45" t="s">
        <v>61</v>
      </c>
      <c r="P8" s="46"/>
      <c r="Q8" s="50" t="s">
        <v>61</v>
      </c>
      <c r="R8" s="50" t="s">
        <v>62</v>
      </c>
      <c r="S8" s="47" t="s">
        <v>61</v>
      </c>
      <c r="T8" s="50" t="s">
        <v>63</v>
      </c>
      <c r="U8" s="50" t="s">
        <v>63</v>
      </c>
      <c r="V8" s="50" t="s">
        <v>63</v>
      </c>
      <c r="W8" s="50" t="s">
        <v>63</v>
      </c>
      <c r="X8" s="50" t="s">
        <v>63</v>
      </c>
      <c r="Y8" s="50" t="s">
        <v>63</v>
      </c>
      <c r="Z8" s="51" t="s">
        <v>63</v>
      </c>
      <c r="AA8" s="52" t="s">
        <v>63</v>
      </c>
      <c r="AB8" s="52" t="s">
        <v>63</v>
      </c>
      <c r="AC8" s="52" t="s">
        <v>63</v>
      </c>
      <c r="AD8" s="52" t="s">
        <v>63</v>
      </c>
      <c r="AE8" s="52" t="s">
        <v>63</v>
      </c>
      <c r="AF8" s="53" t="s">
        <v>63</v>
      </c>
      <c r="AG8" s="54" t="s">
        <v>63</v>
      </c>
      <c r="AH8" s="54" t="s">
        <v>63</v>
      </c>
      <c r="AI8" s="54" t="s">
        <v>63</v>
      </c>
      <c r="AJ8" s="54" t="s">
        <v>63</v>
      </c>
      <c r="AK8" s="54" t="s">
        <v>63</v>
      </c>
      <c r="AL8" s="54" t="s">
        <v>63</v>
      </c>
      <c r="AM8" s="54" t="s">
        <v>63</v>
      </c>
      <c r="AN8" s="55" t="s">
        <v>63</v>
      </c>
      <c r="AO8" s="52" t="s">
        <v>63</v>
      </c>
      <c r="AP8" s="52" t="s">
        <v>63</v>
      </c>
      <c r="AQ8" s="52" t="s">
        <v>63</v>
      </c>
      <c r="AR8" s="52" t="s">
        <v>63</v>
      </c>
      <c r="AS8" s="52" t="s">
        <v>63</v>
      </c>
      <c r="AT8" s="53" t="s">
        <v>63</v>
      </c>
      <c r="AU8" s="53"/>
      <c r="AV8" s="56" t="s">
        <v>64</v>
      </c>
      <c r="AW8" s="56" t="s">
        <v>65</v>
      </c>
      <c r="AX8" s="56" t="s">
        <v>66</v>
      </c>
      <c r="AY8" s="56" t="s">
        <v>64</v>
      </c>
      <c r="AZ8" s="56" t="s">
        <v>65</v>
      </c>
      <c r="BA8" s="56" t="s">
        <v>66</v>
      </c>
      <c r="BB8" s="56" t="s">
        <v>64</v>
      </c>
      <c r="BC8" s="56" t="s">
        <v>65</v>
      </c>
      <c r="BD8" s="56" t="s">
        <v>66</v>
      </c>
      <c r="BE8" s="56" t="s">
        <v>64</v>
      </c>
      <c r="BF8" s="56" t="s">
        <v>65</v>
      </c>
      <c r="BG8" s="56" t="s">
        <v>66</v>
      </c>
      <c r="BH8" s="56" t="s">
        <v>64</v>
      </c>
      <c r="BI8" s="56" t="s">
        <v>65</v>
      </c>
      <c r="BJ8" s="56" t="s">
        <v>66</v>
      </c>
      <c r="BK8" s="45"/>
      <c r="BL8" s="51" t="s">
        <v>63</v>
      </c>
      <c r="BM8" s="52" t="s">
        <v>63</v>
      </c>
      <c r="BN8" s="52" t="s">
        <v>63</v>
      </c>
      <c r="BO8" s="52" t="s">
        <v>63</v>
      </c>
      <c r="BP8" s="52" t="s">
        <v>63</v>
      </c>
      <c r="BQ8" s="53" t="s">
        <v>63</v>
      </c>
      <c r="BR8" s="50"/>
      <c r="BS8" s="45"/>
      <c r="BT8" s="46" t="s">
        <v>61</v>
      </c>
      <c r="BU8" s="47" t="s">
        <v>61</v>
      </c>
      <c r="BV8" s="57"/>
      <c r="BW8" s="45" t="s">
        <v>61</v>
      </c>
      <c r="BX8" s="45" t="s">
        <v>61</v>
      </c>
      <c r="BY8" s="58" t="s">
        <v>61</v>
      </c>
      <c r="BZ8" s="58"/>
      <c r="CA8" s="45"/>
      <c r="CB8" s="45" t="s">
        <v>61</v>
      </c>
      <c r="CC8" s="46" t="s">
        <v>61</v>
      </c>
      <c r="CD8" s="46" t="s">
        <v>61</v>
      </c>
      <c r="CE8" s="50" t="s">
        <v>61</v>
      </c>
      <c r="CF8" s="46" t="s">
        <v>61</v>
      </c>
      <c r="CG8" s="59"/>
      <c r="CH8" s="59"/>
      <c r="CI8" s="59"/>
    </row>
    <row r="9" spans="1:87" ht="13.8" x14ac:dyDescent="0.25">
      <c r="A9" s="44"/>
      <c r="B9" s="60"/>
      <c r="C9" s="60"/>
      <c r="D9" s="61"/>
      <c r="E9" s="62"/>
      <c r="F9" s="62"/>
      <c r="G9" s="62"/>
      <c r="H9" s="61"/>
      <c r="I9" s="63"/>
      <c r="J9" s="15"/>
      <c r="K9" s="63"/>
      <c r="L9" s="64"/>
      <c r="M9" s="63"/>
      <c r="N9" s="60"/>
      <c r="O9" s="63"/>
      <c r="P9" s="63"/>
      <c r="Q9" s="63"/>
      <c r="R9" s="63"/>
      <c r="S9" s="62"/>
      <c r="T9" s="63"/>
      <c r="U9" s="63"/>
      <c r="V9" s="63"/>
      <c r="W9" s="63"/>
      <c r="X9" s="63"/>
      <c r="Y9" s="63"/>
      <c r="Z9" s="65"/>
      <c r="AA9" s="66"/>
      <c r="AB9" s="66"/>
      <c r="AC9" s="66"/>
      <c r="AD9" s="66"/>
      <c r="AE9" s="66"/>
      <c r="AF9" s="64"/>
      <c r="AG9" s="54"/>
      <c r="AH9" s="54"/>
      <c r="AI9" s="54"/>
      <c r="AJ9" s="54"/>
      <c r="AK9" s="54"/>
      <c r="AL9" s="54"/>
      <c r="AM9" s="54"/>
      <c r="AN9" s="66"/>
      <c r="AO9" s="66"/>
      <c r="AP9" s="66"/>
      <c r="AQ9" s="66"/>
      <c r="AR9" s="66"/>
      <c r="AS9" s="66"/>
      <c r="AT9" s="66"/>
      <c r="AU9" s="66"/>
      <c r="AV9" s="250"/>
      <c r="AW9" s="251"/>
      <c r="AX9" s="251"/>
      <c r="AY9" s="251"/>
      <c r="AZ9" s="251"/>
      <c r="BA9" s="251"/>
      <c r="BB9" s="251"/>
      <c r="BC9" s="251"/>
      <c r="BD9" s="251"/>
      <c r="BE9" s="251"/>
      <c r="BF9" s="251"/>
      <c r="BG9" s="251"/>
      <c r="BH9" s="251"/>
      <c r="BI9" s="251"/>
      <c r="BJ9" s="251"/>
      <c r="BK9" s="63"/>
      <c r="BL9" s="65"/>
      <c r="BM9" s="66"/>
      <c r="BN9" s="66"/>
      <c r="BO9" s="66"/>
      <c r="BP9" s="66"/>
      <c r="BQ9" s="64"/>
      <c r="BR9" s="63"/>
      <c r="BS9" s="60"/>
      <c r="BT9" s="61"/>
      <c r="BU9" s="62"/>
      <c r="BV9" s="67"/>
      <c r="BW9" s="60"/>
      <c r="BX9" s="60"/>
      <c r="BY9" s="68"/>
      <c r="BZ9" s="68"/>
      <c r="CA9" s="60"/>
      <c r="CB9" s="60"/>
      <c r="CC9" s="61"/>
      <c r="CD9" s="61"/>
      <c r="CE9" s="63"/>
      <c r="CF9" s="61"/>
      <c r="CG9" s="69"/>
      <c r="CH9" s="69"/>
      <c r="CI9" s="69"/>
    </row>
    <row r="10" spans="1:87" ht="15" x14ac:dyDescent="0.25">
      <c r="A10" s="214" t="s">
        <v>67</v>
      </c>
      <c r="B10" s="71"/>
      <c r="C10" s="71" t="s">
        <v>68</v>
      </c>
      <c r="D10" s="215" t="s">
        <v>69</v>
      </c>
      <c r="E10" s="73">
        <v>20</v>
      </c>
      <c r="F10" s="73">
        <v>2</v>
      </c>
      <c r="G10" s="73" t="s">
        <v>70</v>
      </c>
      <c r="H10" s="72"/>
      <c r="I10" s="74">
        <v>10.5</v>
      </c>
      <c r="J10" s="75" t="s">
        <v>71</v>
      </c>
      <c r="K10" s="74" t="s">
        <v>72</v>
      </c>
      <c r="L10" s="73" t="s">
        <v>73</v>
      </c>
      <c r="M10" s="76"/>
      <c r="N10" s="77">
        <v>0.23</v>
      </c>
      <c r="O10" s="72">
        <v>4</v>
      </c>
      <c r="P10" s="78">
        <v>2.75</v>
      </c>
      <c r="Q10" s="76">
        <v>4</v>
      </c>
      <c r="R10" s="76">
        <v>6</v>
      </c>
      <c r="S10" s="225" t="s">
        <v>74</v>
      </c>
      <c r="T10" s="76">
        <v>0.2</v>
      </c>
      <c r="U10" s="76">
        <v>8.0000000000000002E-3</v>
      </c>
      <c r="V10" s="76">
        <v>1.5</v>
      </c>
      <c r="W10" s="76">
        <v>0.2</v>
      </c>
      <c r="X10" s="76">
        <v>8.0000000000000002E-3</v>
      </c>
      <c r="Y10" s="76">
        <v>0.15</v>
      </c>
      <c r="Z10" s="80">
        <v>0.42499999999999999</v>
      </c>
      <c r="AA10" s="81">
        <v>2.1999999999999999E-2</v>
      </c>
      <c r="AB10" s="81">
        <v>1</v>
      </c>
      <c r="AC10" s="81">
        <v>0.01</v>
      </c>
      <c r="AD10" s="81">
        <v>0.5</v>
      </c>
      <c r="AE10" s="81">
        <v>2.8000000000000001E-2</v>
      </c>
      <c r="AF10" s="82">
        <v>8</v>
      </c>
      <c r="AG10" s="81">
        <v>0</v>
      </c>
      <c r="AH10" s="81">
        <v>0</v>
      </c>
      <c r="AI10" s="81">
        <v>0</v>
      </c>
      <c r="AJ10" s="81">
        <v>0</v>
      </c>
      <c r="AK10" s="81">
        <v>0</v>
      </c>
      <c r="AL10" s="81">
        <v>0</v>
      </c>
      <c r="AM10" s="81">
        <v>0</v>
      </c>
      <c r="AN10" s="81">
        <v>0.35</v>
      </c>
      <c r="AO10" s="81">
        <v>1.7999999999999999E-2</v>
      </c>
      <c r="AP10" s="81">
        <v>1.01</v>
      </c>
      <c r="AQ10" s="81">
        <v>1.2E-2</v>
      </c>
      <c r="AR10" s="81">
        <v>0.4</v>
      </c>
      <c r="AS10" s="81">
        <v>2.1999999999999999E-2</v>
      </c>
      <c r="AT10" s="81">
        <v>12</v>
      </c>
      <c r="AU10" s="81"/>
      <c r="AV10" s="83">
        <v>0</v>
      </c>
      <c r="AW10" s="56" t="s">
        <v>65</v>
      </c>
      <c r="AX10" s="83">
        <v>6</v>
      </c>
      <c r="AY10" s="83">
        <v>6</v>
      </c>
      <c r="AZ10" s="56" t="s">
        <v>65</v>
      </c>
      <c r="BA10" s="83">
        <v>6</v>
      </c>
      <c r="BB10" s="83">
        <v>6</v>
      </c>
      <c r="BC10" s="56" t="s">
        <v>65</v>
      </c>
      <c r="BD10" s="83">
        <v>14</v>
      </c>
      <c r="BE10" s="83">
        <v>14</v>
      </c>
      <c r="BF10" s="56" t="s">
        <v>65</v>
      </c>
      <c r="BG10" s="83">
        <v>14</v>
      </c>
      <c r="BH10" s="83">
        <v>14</v>
      </c>
      <c r="BI10" s="56" t="s">
        <v>65</v>
      </c>
      <c r="BJ10" s="83">
        <v>20</v>
      </c>
      <c r="BK10" s="84"/>
      <c r="BL10" s="80">
        <v>0.42499999999999999</v>
      </c>
      <c r="BM10" s="81">
        <v>2.1999999999999999E-2</v>
      </c>
      <c r="BN10" s="81">
        <v>1</v>
      </c>
      <c r="BO10" s="81">
        <v>0.01</v>
      </c>
      <c r="BP10" s="81">
        <v>0.5</v>
      </c>
      <c r="BQ10" s="82">
        <v>2.8000000000000001E-2</v>
      </c>
      <c r="BR10" s="85"/>
      <c r="BS10" s="86">
        <v>4</v>
      </c>
      <c r="BT10" s="87">
        <v>10</v>
      </c>
      <c r="BU10" s="88">
        <v>0.75</v>
      </c>
      <c r="BV10" s="89">
        <v>8.0000000000000002E-3</v>
      </c>
      <c r="BW10" s="86">
        <v>1.05</v>
      </c>
      <c r="BX10" s="86" t="s">
        <v>75</v>
      </c>
      <c r="BY10" s="86">
        <v>0.1</v>
      </c>
      <c r="BZ10" s="90">
        <v>4.5999999999999999E-3</v>
      </c>
      <c r="CA10" s="86"/>
      <c r="CB10" s="86">
        <v>6</v>
      </c>
      <c r="CC10" s="87">
        <v>1.325</v>
      </c>
      <c r="CD10" s="87">
        <v>1.45</v>
      </c>
      <c r="CE10" s="88">
        <v>0.72499999999999998</v>
      </c>
      <c r="CF10" s="88">
        <v>1.4</v>
      </c>
      <c r="CG10" s="85">
        <v>2</v>
      </c>
      <c r="CH10" s="85">
        <v>3.63</v>
      </c>
      <c r="CI10" s="91">
        <v>1.32E-2</v>
      </c>
    </row>
    <row r="11" spans="1:87" ht="15" x14ac:dyDescent="0.25">
      <c r="A11" s="70" t="s">
        <v>76</v>
      </c>
      <c r="B11" s="71"/>
      <c r="C11" s="71" t="s">
        <v>68</v>
      </c>
      <c r="D11" s="72" t="s">
        <v>69</v>
      </c>
      <c r="E11" s="73">
        <v>25</v>
      </c>
      <c r="F11" s="73">
        <v>2</v>
      </c>
      <c r="G11" s="73" t="s">
        <v>70</v>
      </c>
      <c r="H11" s="72"/>
      <c r="I11" s="74">
        <v>10.5</v>
      </c>
      <c r="J11" s="75" t="s">
        <v>71</v>
      </c>
      <c r="K11" s="74" t="s">
        <v>72</v>
      </c>
      <c r="L11" s="73" t="s">
        <v>73</v>
      </c>
      <c r="M11" s="76"/>
      <c r="N11" s="77">
        <v>0.23</v>
      </c>
      <c r="O11" s="72">
        <v>4</v>
      </c>
      <c r="P11" s="78">
        <v>2.75</v>
      </c>
      <c r="Q11" s="76">
        <v>3.5710000000000002</v>
      </c>
      <c r="R11" s="76">
        <v>8</v>
      </c>
      <c r="S11" s="79" t="s">
        <v>77</v>
      </c>
      <c r="T11" s="76">
        <v>0.2</v>
      </c>
      <c r="U11" s="76">
        <v>8.0000000000000002E-3</v>
      </c>
      <c r="V11" s="76">
        <v>1.5</v>
      </c>
      <c r="W11" s="76">
        <v>0.2</v>
      </c>
      <c r="X11" s="76">
        <v>8.0000000000000002E-3</v>
      </c>
      <c r="Y11" s="76">
        <v>0.15</v>
      </c>
      <c r="Z11" s="80">
        <v>0.42499999999999999</v>
      </c>
      <c r="AA11" s="81">
        <v>2.1999999999999999E-2</v>
      </c>
      <c r="AB11" s="81">
        <v>1.325</v>
      </c>
      <c r="AC11" s="81">
        <v>1.2E-2</v>
      </c>
      <c r="AD11" s="81">
        <v>0.5</v>
      </c>
      <c r="AE11" s="81">
        <v>2.8000000000000001E-2</v>
      </c>
      <c r="AF11" s="82">
        <v>9</v>
      </c>
      <c r="AG11" s="81">
        <v>0</v>
      </c>
      <c r="AH11" s="81">
        <v>0</v>
      </c>
      <c r="AI11" s="81">
        <v>0</v>
      </c>
      <c r="AJ11" s="81">
        <v>0</v>
      </c>
      <c r="AK11" s="81">
        <v>0</v>
      </c>
      <c r="AL11" s="81">
        <v>0</v>
      </c>
      <c r="AM11" s="81">
        <v>0</v>
      </c>
      <c r="AN11" s="81">
        <v>0.4</v>
      </c>
      <c r="AO11" s="81">
        <v>1.7999999999999999E-2</v>
      </c>
      <c r="AP11" s="81">
        <v>1.335</v>
      </c>
      <c r="AQ11" s="81">
        <v>1.6E-2</v>
      </c>
      <c r="AR11" s="81">
        <v>0.45</v>
      </c>
      <c r="AS11" s="81">
        <v>2.1999999999999999E-2</v>
      </c>
      <c r="AT11" s="81">
        <v>16</v>
      </c>
      <c r="AU11" s="81"/>
      <c r="AV11" s="83">
        <v>0</v>
      </c>
      <c r="AW11" s="56" t="s">
        <v>65</v>
      </c>
      <c r="AX11" s="83">
        <v>8</v>
      </c>
      <c r="AY11" s="83">
        <v>8</v>
      </c>
      <c r="AZ11" s="56" t="s">
        <v>65</v>
      </c>
      <c r="BA11" s="83">
        <v>8</v>
      </c>
      <c r="BB11" s="83">
        <v>8</v>
      </c>
      <c r="BC11" s="56" t="s">
        <v>65</v>
      </c>
      <c r="BD11" s="83">
        <v>17</v>
      </c>
      <c r="BE11" s="83">
        <v>17</v>
      </c>
      <c r="BF11" s="56" t="s">
        <v>65</v>
      </c>
      <c r="BG11" s="83">
        <v>17</v>
      </c>
      <c r="BH11" s="83">
        <v>17</v>
      </c>
      <c r="BI11" s="56" t="s">
        <v>65</v>
      </c>
      <c r="BJ11" s="83">
        <v>25</v>
      </c>
      <c r="BK11" s="84"/>
      <c r="BL11" s="80">
        <v>0.42499999999999999</v>
      </c>
      <c r="BM11" s="81">
        <v>2.1999999999999999E-2</v>
      </c>
      <c r="BN11" s="81">
        <v>1.325</v>
      </c>
      <c r="BO11" s="81">
        <v>1.2E-2</v>
      </c>
      <c r="BP11" s="81">
        <v>0.5</v>
      </c>
      <c r="BQ11" s="82">
        <v>2.8000000000000001E-2</v>
      </c>
      <c r="BR11" s="85"/>
      <c r="BS11" s="86">
        <v>4</v>
      </c>
      <c r="BT11" s="87">
        <v>10</v>
      </c>
      <c r="BU11" s="88">
        <v>0.8</v>
      </c>
      <c r="BV11" s="89">
        <v>8.0000000000000002E-3</v>
      </c>
      <c r="BW11" s="86">
        <v>1.175</v>
      </c>
      <c r="BX11" s="86" t="s">
        <v>78</v>
      </c>
      <c r="BY11" s="86">
        <v>0.1</v>
      </c>
      <c r="BZ11" s="90">
        <v>4.1000000000000003E-3</v>
      </c>
      <c r="CA11" s="86"/>
      <c r="CB11" s="86">
        <v>6</v>
      </c>
      <c r="CC11" s="87">
        <v>1.35</v>
      </c>
      <c r="CD11" s="87">
        <v>1.55</v>
      </c>
      <c r="CE11" s="88">
        <v>0.77500000000000002</v>
      </c>
      <c r="CF11" s="88">
        <v>1.425</v>
      </c>
      <c r="CG11" s="85">
        <v>2</v>
      </c>
      <c r="CH11" s="85">
        <v>3.63</v>
      </c>
      <c r="CI11" s="91">
        <v>1.2999999999999999E-2</v>
      </c>
    </row>
    <row r="12" spans="1:87" ht="15" x14ac:dyDescent="0.25">
      <c r="A12" s="70" t="s">
        <v>79</v>
      </c>
      <c r="B12" s="71"/>
      <c r="C12" s="71" t="s">
        <v>68</v>
      </c>
      <c r="D12" s="72" t="s">
        <v>69</v>
      </c>
      <c r="E12" s="73">
        <v>30</v>
      </c>
      <c r="F12" s="73">
        <v>2</v>
      </c>
      <c r="G12" s="73" t="s">
        <v>70</v>
      </c>
      <c r="H12" s="72"/>
      <c r="I12" s="74">
        <v>10.5</v>
      </c>
      <c r="J12" s="75" t="s">
        <v>71</v>
      </c>
      <c r="K12" s="74" t="s">
        <v>72</v>
      </c>
      <c r="L12" s="73" t="s">
        <v>73</v>
      </c>
      <c r="M12" s="76"/>
      <c r="N12" s="77">
        <v>0.23</v>
      </c>
      <c r="O12" s="72">
        <v>4</v>
      </c>
      <c r="P12" s="78">
        <v>2.75</v>
      </c>
      <c r="Q12" s="76">
        <v>3.75</v>
      </c>
      <c r="R12" s="76">
        <v>9</v>
      </c>
      <c r="S12" s="79" t="s">
        <v>80</v>
      </c>
      <c r="T12" s="76">
        <v>0.2</v>
      </c>
      <c r="U12" s="76">
        <v>8.0000000000000002E-3</v>
      </c>
      <c r="V12" s="76">
        <v>1.5</v>
      </c>
      <c r="W12" s="76">
        <v>0.2</v>
      </c>
      <c r="X12" s="76">
        <v>8.0000000000000002E-3</v>
      </c>
      <c r="Y12" s="76">
        <v>0.15</v>
      </c>
      <c r="Z12" s="92">
        <v>0.45</v>
      </c>
      <c r="AA12" s="81">
        <v>2.1999999999999999E-2</v>
      </c>
      <c r="AB12" s="81">
        <v>1.7050000000000001</v>
      </c>
      <c r="AC12" s="93">
        <v>1.6E-2</v>
      </c>
      <c r="AD12" s="93">
        <v>0.52500000000000002</v>
      </c>
      <c r="AE12" s="81">
        <v>2.8000000000000001E-2</v>
      </c>
      <c r="AF12" s="82">
        <v>12</v>
      </c>
      <c r="AG12" s="81">
        <v>0</v>
      </c>
      <c r="AH12" s="81">
        <v>0</v>
      </c>
      <c r="AI12" s="81">
        <v>0</v>
      </c>
      <c r="AJ12" s="81">
        <v>0</v>
      </c>
      <c r="AK12" s="81">
        <v>0</v>
      </c>
      <c r="AL12" s="81">
        <v>0</v>
      </c>
      <c r="AM12" s="81">
        <v>0</v>
      </c>
      <c r="AN12" s="81">
        <v>0.375</v>
      </c>
      <c r="AO12" s="81">
        <v>1.7999999999999999E-2</v>
      </c>
      <c r="AP12" s="81">
        <v>1.71</v>
      </c>
      <c r="AQ12" s="93">
        <v>1.7999999999999999E-2</v>
      </c>
      <c r="AR12" s="81">
        <v>0.42499999999999999</v>
      </c>
      <c r="AS12" s="81">
        <v>2.1999999999999999E-2</v>
      </c>
      <c r="AT12" s="81">
        <v>18</v>
      </c>
      <c r="AU12" s="81"/>
      <c r="AV12" s="83">
        <v>0</v>
      </c>
      <c r="AW12" s="56" t="s">
        <v>65</v>
      </c>
      <c r="AX12" s="83">
        <v>9</v>
      </c>
      <c r="AY12" s="83">
        <v>9</v>
      </c>
      <c r="AZ12" s="56" t="s">
        <v>65</v>
      </c>
      <c r="BA12" s="83">
        <v>9</v>
      </c>
      <c r="BB12" s="83">
        <v>9</v>
      </c>
      <c r="BC12" s="56" t="s">
        <v>65</v>
      </c>
      <c r="BD12" s="83">
        <v>21</v>
      </c>
      <c r="BE12" s="83">
        <v>21</v>
      </c>
      <c r="BF12" s="56" t="s">
        <v>65</v>
      </c>
      <c r="BG12" s="83">
        <v>21</v>
      </c>
      <c r="BH12" s="83">
        <v>21</v>
      </c>
      <c r="BI12" s="56" t="s">
        <v>65</v>
      </c>
      <c r="BJ12" s="83">
        <v>30</v>
      </c>
      <c r="BK12" s="84"/>
      <c r="BL12" s="92">
        <v>0.45</v>
      </c>
      <c r="BM12" s="81">
        <v>2.1999999999999999E-2</v>
      </c>
      <c r="BN12" s="81">
        <v>1.7050000000000001</v>
      </c>
      <c r="BO12" s="93">
        <v>1.6E-2</v>
      </c>
      <c r="BP12" s="93">
        <v>0.52500000000000002</v>
      </c>
      <c r="BQ12" s="82">
        <v>2.8000000000000001E-2</v>
      </c>
      <c r="BR12" s="85"/>
      <c r="BS12" s="86">
        <v>4</v>
      </c>
      <c r="BT12" s="87">
        <v>10</v>
      </c>
      <c r="BU12" s="88">
        <v>0.9</v>
      </c>
      <c r="BV12" s="89">
        <v>8.0000000000000002E-3</v>
      </c>
      <c r="BW12" s="86">
        <v>1.35</v>
      </c>
      <c r="BX12" s="86" t="s">
        <v>81</v>
      </c>
      <c r="BY12" s="86">
        <v>0.1</v>
      </c>
      <c r="BZ12" s="90">
        <v>3.5999999999999999E-3</v>
      </c>
      <c r="CA12" s="86"/>
      <c r="CB12" s="86">
        <v>6</v>
      </c>
      <c r="CC12" s="87">
        <v>1.375</v>
      </c>
      <c r="CD12" s="87">
        <v>1.65</v>
      </c>
      <c r="CE12" s="88">
        <v>0.82499999999999996</v>
      </c>
      <c r="CF12" s="88">
        <v>1.45</v>
      </c>
      <c r="CG12" s="85">
        <v>2</v>
      </c>
      <c r="CH12" s="85">
        <v>3.63</v>
      </c>
      <c r="CI12" s="91">
        <v>1.29E-2</v>
      </c>
    </row>
    <row r="13" spans="1:87" ht="15" x14ac:dyDescent="0.25">
      <c r="A13" s="70" t="s">
        <v>82</v>
      </c>
      <c r="B13" s="71"/>
      <c r="C13" s="71" t="s">
        <v>68</v>
      </c>
      <c r="D13" s="72" t="s">
        <v>69</v>
      </c>
      <c r="E13" s="73">
        <v>35</v>
      </c>
      <c r="F13" s="73">
        <v>2</v>
      </c>
      <c r="G13" s="73" t="s">
        <v>70</v>
      </c>
      <c r="H13" s="72"/>
      <c r="I13" s="74">
        <v>10.5</v>
      </c>
      <c r="J13" s="75" t="s">
        <v>71</v>
      </c>
      <c r="K13" s="74" t="s">
        <v>72</v>
      </c>
      <c r="L13" s="73" t="s">
        <v>73</v>
      </c>
      <c r="M13" s="76"/>
      <c r="N13" s="77">
        <v>0.23</v>
      </c>
      <c r="O13" s="72">
        <v>4</v>
      </c>
      <c r="P13" s="78">
        <v>2.75</v>
      </c>
      <c r="Q13" s="76">
        <v>3.5</v>
      </c>
      <c r="R13" s="76">
        <v>11</v>
      </c>
      <c r="S13" s="79" t="s">
        <v>80</v>
      </c>
      <c r="T13" s="76">
        <v>0.2</v>
      </c>
      <c r="U13" s="76">
        <v>0.01</v>
      </c>
      <c r="V13" s="76">
        <v>2</v>
      </c>
      <c r="W13" s="76">
        <v>0.2</v>
      </c>
      <c r="X13" s="76">
        <v>0.01</v>
      </c>
      <c r="Y13" s="76">
        <v>0.15</v>
      </c>
      <c r="Z13" s="80">
        <v>0.47499999999999998</v>
      </c>
      <c r="AA13" s="81">
        <v>2.5000000000000001E-2</v>
      </c>
      <c r="AB13" s="81">
        <v>1.9930000000000001</v>
      </c>
      <c r="AC13" s="81">
        <v>1.6E-2</v>
      </c>
      <c r="AD13" s="81">
        <v>0.55000000000000004</v>
      </c>
      <c r="AE13" s="81">
        <v>3.2000000000000001E-2</v>
      </c>
      <c r="AF13" s="82">
        <v>11</v>
      </c>
      <c r="AG13" s="81">
        <v>0.4</v>
      </c>
      <c r="AH13" s="81">
        <v>2.5000000000000001E-2</v>
      </c>
      <c r="AI13" s="81">
        <v>1.9930000000000001</v>
      </c>
      <c r="AJ13" s="81">
        <v>1.6E-2</v>
      </c>
      <c r="AK13" s="81">
        <v>0.47499999999999998</v>
      </c>
      <c r="AL13" s="81">
        <v>3.2000000000000001E-2</v>
      </c>
      <c r="AM13" s="81">
        <v>12</v>
      </c>
      <c r="AN13" s="81">
        <v>0.375</v>
      </c>
      <c r="AO13" s="81">
        <v>1.7999999999999999E-2</v>
      </c>
      <c r="AP13" s="81">
        <v>2.0099999999999998</v>
      </c>
      <c r="AQ13" s="81">
        <v>1.7999999999999999E-2</v>
      </c>
      <c r="AR13" s="81">
        <v>0.42499999999999999</v>
      </c>
      <c r="AS13" s="81">
        <v>2.1999999999999999E-2</v>
      </c>
      <c r="AT13" s="81">
        <v>12</v>
      </c>
      <c r="AU13" s="81"/>
      <c r="AV13" s="83">
        <v>0</v>
      </c>
      <c r="AW13" s="56" t="s">
        <v>65</v>
      </c>
      <c r="AX13" s="83">
        <v>6</v>
      </c>
      <c r="AY13" s="83">
        <v>6</v>
      </c>
      <c r="AZ13" s="56" t="s">
        <v>65</v>
      </c>
      <c r="BA13" s="83">
        <v>12</v>
      </c>
      <c r="BB13" s="83">
        <v>12</v>
      </c>
      <c r="BC13" s="56" t="s">
        <v>65</v>
      </c>
      <c r="BD13" s="83">
        <v>23</v>
      </c>
      <c r="BE13" s="83">
        <v>23</v>
      </c>
      <c r="BF13" s="56" t="s">
        <v>65</v>
      </c>
      <c r="BG13" s="83">
        <v>29</v>
      </c>
      <c r="BH13" s="83">
        <v>29</v>
      </c>
      <c r="BI13" s="56" t="s">
        <v>65</v>
      </c>
      <c r="BJ13" s="83">
        <v>35</v>
      </c>
      <c r="BK13" s="84"/>
      <c r="BL13" s="80">
        <v>0.47499999999999998</v>
      </c>
      <c r="BM13" s="81">
        <v>2.5000000000000001E-2</v>
      </c>
      <c r="BN13" s="81">
        <v>1.9930000000000001</v>
      </c>
      <c r="BO13" s="81">
        <v>1.6E-2</v>
      </c>
      <c r="BP13" s="81">
        <v>0.55000000000000004</v>
      </c>
      <c r="BQ13" s="82">
        <v>3.2000000000000001E-2</v>
      </c>
      <c r="BR13" s="85"/>
      <c r="BS13" s="86">
        <v>4</v>
      </c>
      <c r="BT13" s="87">
        <v>10</v>
      </c>
      <c r="BU13" s="88">
        <v>1</v>
      </c>
      <c r="BV13" s="89">
        <v>8.0000000000000002E-3</v>
      </c>
      <c r="BW13" s="86">
        <v>1.175</v>
      </c>
      <c r="BX13" s="86" t="s">
        <v>83</v>
      </c>
      <c r="BY13" s="86">
        <v>0.1</v>
      </c>
      <c r="BZ13" s="90">
        <v>4.1000000000000003E-3</v>
      </c>
      <c r="CA13" s="86"/>
      <c r="CB13" s="86">
        <v>6</v>
      </c>
      <c r="CC13" s="87">
        <v>1.425</v>
      </c>
      <c r="CD13" s="87">
        <v>1.75</v>
      </c>
      <c r="CE13" s="88">
        <v>0.875</v>
      </c>
      <c r="CF13" s="88">
        <v>1.5</v>
      </c>
      <c r="CG13" s="85">
        <v>2</v>
      </c>
      <c r="CH13" s="85">
        <v>3.63</v>
      </c>
      <c r="CI13" s="91">
        <v>1.2999999999999999E-2</v>
      </c>
    </row>
    <row r="14" spans="1:87" ht="15" x14ac:dyDescent="0.25">
      <c r="A14" s="70" t="s">
        <v>84</v>
      </c>
      <c r="B14" s="71"/>
      <c r="C14" s="71" t="s">
        <v>68</v>
      </c>
      <c r="D14" s="72" t="s">
        <v>69</v>
      </c>
      <c r="E14" s="73">
        <v>40</v>
      </c>
      <c r="F14" s="73">
        <v>2</v>
      </c>
      <c r="G14" s="73" t="s">
        <v>70</v>
      </c>
      <c r="H14" s="72"/>
      <c r="I14" s="74">
        <v>10.5</v>
      </c>
      <c r="J14" s="75" t="s">
        <v>71</v>
      </c>
      <c r="K14" s="74" t="s">
        <v>72</v>
      </c>
      <c r="L14" s="73" t="s">
        <v>73</v>
      </c>
      <c r="M14" s="76"/>
      <c r="N14" s="77">
        <v>0.23</v>
      </c>
      <c r="O14" s="72">
        <v>4</v>
      </c>
      <c r="P14" s="78">
        <v>2.75</v>
      </c>
      <c r="Q14" s="76">
        <v>4</v>
      </c>
      <c r="R14" s="76">
        <v>11</v>
      </c>
      <c r="S14" s="79" t="s">
        <v>85</v>
      </c>
      <c r="T14" s="76">
        <v>0.2</v>
      </c>
      <c r="U14" s="76">
        <v>1.2E-2</v>
      </c>
      <c r="V14" s="76">
        <v>2</v>
      </c>
      <c r="W14" s="76">
        <v>0.2</v>
      </c>
      <c r="X14" s="76">
        <v>1.2E-2</v>
      </c>
      <c r="Y14" s="76">
        <v>0.15</v>
      </c>
      <c r="Z14" s="80">
        <v>0.47499999999999998</v>
      </c>
      <c r="AA14" s="81">
        <v>2.5000000000000001E-2</v>
      </c>
      <c r="AB14" s="81">
        <v>2.2930000000000001</v>
      </c>
      <c r="AC14" s="81">
        <v>1.7999999999999999E-2</v>
      </c>
      <c r="AD14" s="81">
        <v>0.55000000000000004</v>
      </c>
      <c r="AE14" s="81">
        <v>3.2000000000000001E-2</v>
      </c>
      <c r="AF14" s="82">
        <v>12</v>
      </c>
      <c r="AG14" s="81">
        <v>0.4</v>
      </c>
      <c r="AH14" s="81">
        <v>2.5000000000000001E-2</v>
      </c>
      <c r="AI14" s="81">
        <v>2.2930000000000001</v>
      </c>
      <c r="AJ14" s="81">
        <v>1.7999999999999999E-2</v>
      </c>
      <c r="AK14" s="81">
        <v>0.47499999999999998</v>
      </c>
      <c r="AL14" s="81">
        <v>3.2000000000000001E-2</v>
      </c>
      <c r="AM14" s="81">
        <v>14</v>
      </c>
      <c r="AN14" s="81">
        <v>0.375</v>
      </c>
      <c r="AO14" s="81">
        <v>1.7999999999999999E-2</v>
      </c>
      <c r="AP14" s="81">
        <v>2.31</v>
      </c>
      <c r="AQ14" s="81">
        <v>0.02</v>
      </c>
      <c r="AR14" s="81">
        <v>0.42499999999999999</v>
      </c>
      <c r="AS14" s="81">
        <v>2.1999999999999999E-2</v>
      </c>
      <c r="AT14" s="81">
        <v>14</v>
      </c>
      <c r="AU14" s="81"/>
      <c r="AV14" s="83">
        <v>0</v>
      </c>
      <c r="AW14" s="56" t="s">
        <v>65</v>
      </c>
      <c r="AX14" s="83">
        <v>7</v>
      </c>
      <c r="AY14" s="83">
        <v>7</v>
      </c>
      <c r="AZ14" s="56" t="s">
        <v>65</v>
      </c>
      <c r="BA14" s="83">
        <v>14</v>
      </c>
      <c r="BB14" s="83">
        <v>14</v>
      </c>
      <c r="BC14" s="56" t="s">
        <v>65</v>
      </c>
      <c r="BD14" s="83">
        <v>26</v>
      </c>
      <c r="BE14" s="83">
        <v>26</v>
      </c>
      <c r="BF14" s="56" t="s">
        <v>65</v>
      </c>
      <c r="BG14" s="83">
        <v>33</v>
      </c>
      <c r="BH14" s="83">
        <v>33</v>
      </c>
      <c r="BI14" s="56" t="s">
        <v>65</v>
      </c>
      <c r="BJ14" s="83">
        <v>40</v>
      </c>
      <c r="BK14" s="84"/>
      <c r="BL14" s="80">
        <v>0.47499999999999998</v>
      </c>
      <c r="BM14" s="81">
        <v>2.5000000000000001E-2</v>
      </c>
      <c r="BN14" s="81">
        <v>2.2930000000000001</v>
      </c>
      <c r="BO14" s="81">
        <v>1.7999999999999999E-2</v>
      </c>
      <c r="BP14" s="81">
        <v>0.55000000000000004</v>
      </c>
      <c r="BQ14" s="82">
        <v>3.2000000000000001E-2</v>
      </c>
      <c r="BR14" s="85"/>
      <c r="BS14" s="86">
        <v>4</v>
      </c>
      <c r="BT14" s="87">
        <v>10</v>
      </c>
      <c r="BU14" s="88">
        <v>1</v>
      </c>
      <c r="BV14" s="89">
        <v>8.0000000000000002E-3</v>
      </c>
      <c r="BW14" s="86">
        <v>1.5</v>
      </c>
      <c r="BX14" s="86" t="s">
        <v>83</v>
      </c>
      <c r="BY14" s="86">
        <v>0.1</v>
      </c>
      <c r="BZ14" s="90">
        <v>3.2000000000000002E-3</v>
      </c>
      <c r="CA14" s="86"/>
      <c r="CB14" s="86">
        <v>6</v>
      </c>
      <c r="CC14" s="87">
        <v>1.45</v>
      </c>
      <c r="CD14" s="87">
        <v>1.85</v>
      </c>
      <c r="CE14" s="88">
        <v>0.92500000000000004</v>
      </c>
      <c r="CF14" s="88">
        <v>1.55</v>
      </c>
      <c r="CG14" s="85">
        <v>2</v>
      </c>
      <c r="CH14" s="85">
        <v>3.63</v>
      </c>
      <c r="CI14" s="91">
        <v>1.29E-2</v>
      </c>
    </row>
    <row r="15" spans="1:87" ht="15" x14ac:dyDescent="0.25">
      <c r="A15" s="70" t="s">
        <v>86</v>
      </c>
      <c r="B15" s="71"/>
      <c r="C15" s="71" t="s">
        <v>68</v>
      </c>
      <c r="D15" s="72" t="s">
        <v>69</v>
      </c>
      <c r="E15" s="73">
        <v>45</v>
      </c>
      <c r="F15" s="73">
        <v>2</v>
      </c>
      <c r="G15" s="73" t="s">
        <v>70</v>
      </c>
      <c r="H15" s="72"/>
      <c r="I15" s="74">
        <v>10.5</v>
      </c>
      <c r="J15" s="75" t="s">
        <v>71</v>
      </c>
      <c r="K15" s="74" t="s">
        <v>72</v>
      </c>
      <c r="L15" s="73" t="s">
        <v>73</v>
      </c>
      <c r="M15" s="76"/>
      <c r="N15" s="77">
        <v>0.23</v>
      </c>
      <c r="O15" s="72">
        <v>4</v>
      </c>
      <c r="P15" s="78">
        <v>2.75</v>
      </c>
      <c r="Q15" s="76">
        <v>3.75</v>
      </c>
      <c r="R15" s="76">
        <v>13</v>
      </c>
      <c r="S15" s="79" t="s">
        <v>87</v>
      </c>
      <c r="T15" s="76">
        <v>0.2</v>
      </c>
      <c r="U15" s="76">
        <v>1.2E-2</v>
      </c>
      <c r="V15" s="76">
        <v>2</v>
      </c>
      <c r="W15" s="76">
        <v>0.2</v>
      </c>
      <c r="X15" s="76">
        <v>1.2E-2</v>
      </c>
      <c r="Y15" s="76">
        <v>0.15</v>
      </c>
      <c r="Z15" s="80">
        <v>0.47499999999999998</v>
      </c>
      <c r="AA15" s="81">
        <v>2.5000000000000001E-2</v>
      </c>
      <c r="AB15" s="81">
        <v>2.593</v>
      </c>
      <c r="AC15" s="81">
        <v>0.02</v>
      </c>
      <c r="AD15" s="81">
        <v>0.55000000000000004</v>
      </c>
      <c r="AE15" s="81">
        <v>3.2000000000000001E-2</v>
      </c>
      <c r="AF15" s="82">
        <v>12</v>
      </c>
      <c r="AG15" s="81">
        <v>0.42499999999999999</v>
      </c>
      <c r="AH15" s="81">
        <v>2.5000000000000001E-2</v>
      </c>
      <c r="AI15" s="81">
        <v>2.593</v>
      </c>
      <c r="AJ15" s="81">
        <v>0.02</v>
      </c>
      <c r="AK15" s="81">
        <v>0.5</v>
      </c>
      <c r="AL15" s="81">
        <v>3.2000000000000001E-2</v>
      </c>
      <c r="AM15" s="81">
        <v>21</v>
      </c>
      <c r="AN15" s="81">
        <v>0.375</v>
      </c>
      <c r="AO15" s="81">
        <v>1.7999999999999999E-2</v>
      </c>
      <c r="AP15" s="81">
        <v>2.61</v>
      </c>
      <c r="AQ15" s="81">
        <v>2.1999999999999999E-2</v>
      </c>
      <c r="AR15" s="81">
        <v>0.42499999999999999</v>
      </c>
      <c r="AS15" s="81">
        <v>2.1999999999999999E-2</v>
      </c>
      <c r="AT15" s="81">
        <v>12</v>
      </c>
      <c r="AU15" s="81"/>
      <c r="AV15" s="83">
        <v>0</v>
      </c>
      <c r="AW15" s="56" t="s">
        <v>65</v>
      </c>
      <c r="AX15" s="83">
        <v>6</v>
      </c>
      <c r="AY15" s="83">
        <v>6</v>
      </c>
      <c r="AZ15" s="56" t="s">
        <v>65</v>
      </c>
      <c r="BA15" s="83">
        <v>16.5</v>
      </c>
      <c r="BB15" s="83">
        <v>16.5</v>
      </c>
      <c r="BC15" s="56" t="s">
        <v>65</v>
      </c>
      <c r="BD15" s="83">
        <v>28.5</v>
      </c>
      <c r="BE15" s="83">
        <v>28.5</v>
      </c>
      <c r="BF15" s="56" t="s">
        <v>65</v>
      </c>
      <c r="BG15" s="83">
        <v>39</v>
      </c>
      <c r="BH15" s="83">
        <v>39</v>
      </c>
      <c r="BI15" s="56" t="s">
        <v>65</v>
      </c>
      <c r="BJ15" s="83">
        <v>45</v>
      </c>
      <c r="BK15" s="84"/>
      <c r="BL15" s="80">
        <v>0.47499999999999998</v>
      </c>
      <c r="BM15" s="81">
        <v>2.5000000000000001E-2</v>
      </c>
      <c r="BN15" s="81">
        <v>2.593</v>
      </c>
      <c r="BO15" s="81">
        <v>0.02</v>
      </c>
      <c r="BP15" s="81">
        <v>0.55000000000000004</v>
      </c>
      <c r="BQ15" s="82">
        <v>3.2000000000000001E-2</v>
      </c>
      <c r="BR15" s="85"/>
      <c r="BS15" s="86">
        <v>5</v>
      </c>
      <c r="BT15" s="87">
        <v>10</v>
      </c>
      <c r="BU15" s="88">
        <v>1</v>
      </c>
      <c r="BV15" s="89">
        <v>8.0000000000000002E-3</v>
      </c>
      <c r="BW15" s="86">
        <v>1.35</v>
      </c>
      <c r="BX15" s="86" t="s">
        <v>83</v>
      </c>
      <c r="BY15" s="86">
        <v>0.1</v>
      </c>
      <c r="BZ15" s="90">
        <v>3.5999999999999999E-3</v>
      </c>
      <c r="CA15" s="86"/>
      <c r="CB15" s="86">
        <v>6</v>
      </c>
      <c r="CC15" s="87">
        <v>1.5</v>
      </c>
      <c r="CD15" s="87">
        <v>1.95</v>
      </c>
      <c r="CE15" s="88">
        <v>0.97499999999999998</v>
      </c>
      <c r="CF15" s="88">
        <v>1.6</v>
      </c>
      <c r="CG15" s="85">
        <v>2</v>
      </c>
      <c r="CH15" s="85">
        <v>3.63</v>
      </c>
      <c r="CI15" s="91">
        <v>1.21E-2</v>
      </c>
    </row>
    <row r="16" spans="1:87" ht="15" x14ac:dyDescent="0.25">
      <c r="A16" s="94" t="s">
        <v>88</v>
      </c>
      <c r="B16" s="95"/>
      <c r="C16" s="95" t="s">
        <v>68</v>
      </c>
      <c r="D16" s="96" t="s">
        <v>69</v>
      </c>
      <c r="E16" s="97">
        <v>20</v>
      </c>
      <c r="F16" s="97">
        <v>2</v>
      </c>
      <c r="G16" s="97" t="s">
        <v>89</v>
      </c>
      <c r="H16" s="96"/>
      <c r="I16" s="98">
        <v>8.5</v>
      </c>
      <c r="J16" s="99" t="s">
        <v>71</v>
      </c>
      <c r="K16" s="98" t="s">
        <v>72</v>
      </c>
      <c r="L16" s="97" t="s">
        <v>73</v>
      </c>
      <c r="M16" s="100"/>
      <c r="N16" s="101">
        <v>0.23</v>
      </c>
      <c r="O16" s="96">
        <v>3</v>
      </c>
      <c r="P16" s="102">
        <v>2.875</v>
      </c>
      <c r="Q16" s="100">
        <v>4</v>
      </c>
      <c r="R16" s="100">
        <v>6</v>
      </c>
      <c r="S16" s="103" t="s">
        <v>74</v>
      </c>
      <c r="T16" s="100">
        <v>0.2</v>
      </c>
      <c r="U16" s="100">
        <v>8.0000000000000002E-3</v>
      </c>
      <c r="V16" s="100">
        <v>1.5</v>
      </c>
      <c r="W16" s="100">
        <v>0.2</v>
      </c>
      <c r="X16" s="100">
        <v>8.0000000000000002E-3</v>
      </c>
      <c r="Y16" s="100">
        <v>0.15</v>
      </c>
      <c r="Z16" s="104">
        <v>0.45</v>
      </c>
      <c r="AA16" s="54">
        <v>2.1999999999999999E-2</v>
      </c>
      <c r="AB16" s="54">
        <v>1</v>
      </c>
      <c r="AC16" s="54">
        <v>0.01</v>
      </c>
      <c r="AD16" s="54">
        <v>0.55000000000000004</v>
      </c>
      <c r="AE16" s="54">
        <v>2.8000000000000001E-2</v>
      </c>
      <c r="AF16" s="105">
        <v>8</v>
      </c>
      <c r="AG16" s="54">
        <v>0</v>
      </c>
      <c r="AH16" s="54">
        <v>0</v>
      </c>
      <c r="AI16" s="54">
        <v>0</v>
      </c>
      <c r="AJ16" s="54">
        <v>0</v>
      </c>
      <c r="AK16" s="54">
        <v>0</v>
      </c>
      <c r="AL16" s="54">
        <v>0</v>
      </c>
      <c r="AM16" s="54">
        <v>0</v>
      </c>
      <c r="AN16" s="54">
        <v>0.375</v>
      </c>
      <c r="AO16" s="54">
        <v>1.7999999999999999E-2</v>
      </c>
      <c r="AP16" s="106">
        <v>1.01</v>
      </c>
      <c r="AQ16" s="54">
        <v>1.2E-2</v>
      </c>
      <c r="AR16" s="54">
        <v>0.45</v>
      </c>
      <c r="AS16" s="54">
        <v>2.1999999999999999E-2</v>
      </c>
      <c r="AT16" s="54">
        <v>12</v>
      </c>
      <c r="AU16" s="54"/>
      <c r="AV16" s="83">
        <v>0</v>
      </c>
      <c r="AW16" s="56" t="s">
        <v>65</v>
      </c>
      <c r="AX16" s="83">
        <v>6</v>
      </c>
      <c r="AY16" s="83">
        <v>6</v>
      </c>
      <c r="AZ16" s="56" t="s">
        <v>65</v>
      </c>
      <c r="BA16" s="83">
        <v>6</v>
      </c>
      <c r="BB16" s="83">
        <v>6</v>
      </c>
      <c r="BC16" s="56" t="s">
        <v>65</v>
      </c>
      <c r="BD16" s="83">
        <v>14</v>
      </c>
      <c r="BE16" s="83">
        <v>14</v>
      </c>
      <c r="BF16" s="56" t="s">
        <v>65</v>
      </c>
      <c r="BG16" s="83">
        <v>14</v>
      </c>
      <c r="BH16" s="83">
        <v>14</v>
      </c>
      <c r="BI16" s="56" t="s">
        <v>65</v>
      </c>
      <c r="BJ16" s="83">
        <v>20</v>
      </c>
      <c r="BK16" s="84"/>
      <c r="BL16" s="104">
        <v>0.45</v>
      </c>
      <c r="BM16" s="54">
        <v>2.1999999999999999E-2</v>
      </c>
      <c r="BN16" s="54">
        <v>1</v>
      </c>
      <c r="BO16" s="54">
        <v>0.01</v>
      </c>
      <c r="BP16" s="54">
        <v>0.55000000000000004</v>
      </c>
      <c r="BQ16" s="105">
        <v>2.8000000000000001E-2</v>
      </c>
      <c r="BR16" s="84"/>
      <c r="BS16" s="107">
        <v>4</v>
      </c>
      <c r="BT16" s="108">
        <v>10</v>
      </c>
      <c r="BU16" s="109">
        <v>0.75</v>
      </c>
      <c r="BV16" s="110">
        <v>8.0000000000000002E-3</v>
      </c>
      <c r="BW16" s="107">
        <v>0.85</v>
      </c>
      <c r="BX16" s="107" t="s">
        <v>75</v>
      </c>
      <c r="BY16" s="111">
        <v>0.1</v>
      </c>
      <c r="BZ16" s="112">
        <v>5.7000000000000002E-3</v>
      </c>
      <c r="CA16" s="107"/>
      <c r="CB16" s="107">
        <v>6</v>
      </c>
      <c r="CC16" s="108">
        <v>1.2</v>
      </c>
      <c r="CD16" s="108">
        <v>1.45</v>
      </c>
      <c r="CE16" s="109">
        <v>0.72499999999999998</v>
      </c>
      <c r="CF16" s="109">
        <v>1.4</v>
      </c>
      <c r="CG16" s="113">
        <v>2</v>
      </c>
      <c r="CH16" s="113">
        <v>3.38</v>
      </c>
      <c r="CI16" s="114">
        <v>6.8999999999999999E-3</v>
      </c>
    </row>
    <row r="17" spans="1:87" ht="15" x14ac:dyDescent="0.25">
      <c r="A17" s="94" t="s">
        <v>90</v>
      </c>
      <c r="B17" s="95"/>
      <c r="C17" s="95" t="s">
        <v>68</v>
      </c>
      <c r="D17" s="96" t="s">
        <v>69</v>
      </c>
      <c r="E17" s="97">
        <v>25</v>
      </c>
      <c r="F17" s="97">
        <v>2</v>
      </c>
      <c r="G17" s="97" t="s">
        <v>89</v>
      </c>
      <c r="H17" s="96"/>
      <c r="I17" s="98">
        <v>8.5</v>
      </c>
      <c r="J17" s="99" t="s">
        <v>71</v>
      </c>
      <c r="K17" s="98" t="s">
        <v>72</v>
      </c>
      <c r="L17" s="97" t="s">
        <v>73</v>
      </c>
      <c r="M17" s="100"/>
      <c r="N17" s="101">
        <v>0.23</v>
      </c>
      <c r="O17" s="96">
        <v>3</v>
      </c>
      <c r="P17" s="102">
        <v>2.875</v>
      </c>
      <c r="Q17" s="100">
        <v>3.5710000000000002</v>
      </c>
      <c r="R17" s="100">
        <v>8</v>
      </c>
      <c r="S17" s="103" t="s">
        <v>77</v>
      </c>
      <c r="T17" s="100">
        <v>0.2</v>
      </c>
      <c r="U17" s="100">
        <v>8.0000000000000002E-3</v>
      </c>
      <c r="V17" s="100">
        <v>1.5</v>
      </c>
      <c r="W17" s="100">
        <v>0.2</v>
      </c>
      <c r="X17" s="100">
        <v>8.0000000000000002E-3</v>
      </c>
      <c r="Y17" s="100">
        <v>0.15</v>
      </c>
      <c r="Z17" s="104">
        <v>0.47499999999999998</v>
      </c>
      <c r="AA17" s="54">
        <v>2.1999999999999999E-2</v>
      </c>
      <c r="AB17" s="54">
        <v>1.325</v>
      </c>
      <c r="AC17" s="54">
        <v>1.2E-2</v>
      </c>
      <c r="AD17" s="54">
        <v>0.57499999999999996</v>
      </c>
      <c r="AE17" s="54">
        <v>2.8000000000000001E-2</v>
      </c>
      <c r="AF17" s="105">
        <v>9</v>
      </c>
      <c r="AG17" s="54">
        <v>0</v>
      </c>
      <c r="AH17" s="54">
        <v>0</v>
      </c>
      <c r="AI17" s="54">
        <v>0</v>
      </c>
      <c r="AJ17" s="54">
        <v>0</v>
      </c>
      <c r="AK17" s="54">
        <v>0</v>
      </c>
      <c r="AL17" s="54">
        <v>0</v>
      </c>
      <c r="AM17" s="54">
        <v>0</v>
      </c>
      <c r="AN17" s="93">
        <v>0.375</v>
      </c>
      <c r="AO17" s="54">
        <v>1.7999999999999999E-2</v>
      </c>
      <c r="AP17" s="93">
        <v>1.335</v>
      </c>
      <c r="AQ17" s="54">
        <v>1.6E-2</v>
      </c>
      <c r="AR17" s="54">
        <v>0.45</v>
      </c>
      <c r="AS17" s="54">
        <v>2.1999999999999999E-2</v>
      </c>
      <c r="AT17" s="54">
        <v>16</v>
      </c>
      <c r="AU17" s="54"/>
      <c r="AV17" s="83">
        <v>0</v>
      </c>
      <c r="AW17" s="56" t="s">
        <v>65</v>
      </c>
      <c r="AX17" s="83">
        <v>8</v>
      </c>
      <c r="AY17" s="83">
        <v>8</v>
      </c>
      <c r="AZ17" s="56" t="s">
        <v>65</v>
      </c>
      <c r="BA17" s="83">
        <v>8</v>
      </c>
      <c r="BB17" s="83">
        <v>8</v>
      </c>
      <c r="BC17" s="56" t="s">
        <v>65</v>
      </c>
      <c r="BD17" s="83">
        <v>17</v>
      </c>
      <c r="BE17" s="83">
        <v>17</v>
      </c>
      <c r="BF17" s="56" t="s">
        <v>65</v>
      </c>
      <c r="BG17" s="83">
        <v>17</v>
      </c>
      <c r="BH17" s="83">
        <v>17</v>
      </c>
      <c r="BI17" s="56" t="s">
        <v>65</v>
      </c>
      <c r="BJ17" s="83">
        <v>25</v>
      </c>
      <c r="BK17" s="84"/>
      <c r="BL17" s="104">
        <v>0.47499999999999998</v>
      </c>
      <c r="BM17" s="54">
        <v>2.1999999999999999E-2</v>
      </c>
      <c r="BN17" s="54">
        <v>1.325</v>
      </c>
      <c r="BO17" s="54">
        <v>1.2E-2</v>
      </c>
      <c r="BP17" s="54">
        <v>0.57499999999999996</v>
      </c>
      <c r="BQ17" s="105">
        <v>2.8000000000000001E-2</v>
      </c>
      <c r="BR17" s="84"/>
      <c r="BS17" s="107">
        <v>4</v>
      </c>
      <c r="BT17" s="108">
        <v>10</v>
      </c>
      <c r="BU17" s="109">
        <v>0.8</v>
      </c>
      <c r="BV17" s="110">
        <v>8.0000000000000002E-3</v>
      </c>
      <c r="BW17" s="107">
        <v>1</v>
      </c>
      <c r="BX17" s="107" t="s">
        <v>78</v>
      </c>
      <c r="BY17" s="111">
        <v>0.1</v>
      </c>
      <c r="BZ17" s="112">
        <v>4.7999999999999996E-3</v>
      </c>
      <c r="CA17" s="107"/>
      <c r="CB17" s="107">
        <v>6</v>
      </c>
      <c r="CC17" s="108">
        <v>1.2250000000000001</v>
      </c>
      <c r="CD17" s="108">
        <v>1.55</v>
      </c>
      <c r="CE17" s="109">
        <v>0.77500000000000002</v>
      </c>
      <c r="CF17" s="109">
        <v>1.425</v>
      </c>
      <c r="CG17" s="113">
        <v>2</v>
      </c>
      <c r="CH17" s="113">
        <v>3.38</v>
      </c>
      <c r="CI17" s="114">
        <v>6.7000000000000002E-3</v>
      </c>
    </row>
    <row r="18" spans="1:87" ht="15" x14ac:dyDescent="0.25">
      <c r="A18" s="94" t="s">
        <v>91</v>
      </c>
      <c r="B18" s="95"/>
      <c r="C18" s="95" t="s">
        <v>68</v>
      </c>
      <c r="D18" s="96" t="s">
        <v>69</v>
      </c>
      <c r="E18" s="97">
        <v>30</v>
      </c>
      <c r="F18" s="97">
        <v>2</v>
      </c>
      <c r="G18" s="97" t="s">
        <v>89</v>
      </c>
      <c r="H18" s="96"/>
      <c r="I18" s="97">
        <v>8.5</v>
      </c>
      <c r="J18" s="99" t="s">
        <v>71</v>
      </c>
      <c r="K18" s="97" t="s">
        <v>72</v>
      </c>
      <c r="L18" s="97" t="s">
        <v>73</v>
      </c>
      <c r="M18" s="100"/>
      <c r="N18" s="101">
        <v>0.23</v>
      </c>
      <c r="O18" s="96">
        <v>3</v>
      </c>
      <c r="P18" s="96">
        <v>2.875</v>
      </c>
      <c r="Q18" s="100">
        <v>3.75</v>
      </c>
      <c r="R18" s="100">
        <v>9</v>
      </c>
      <c r="S18" s="103" t="s">
        <v>80</v>
      </c>
      <c r="T18" s="100">
        <v>0.2</v>
      </c>
      <c r="U18" s="100">
        <v>8.0000000000000002E-3</v>
      </c>
      <c r="V18" s="100">
        <v>1.5</v>
      </c>
      <c r="W18" s="100">
        <v>0.2</v>
      </c>
      <c r="X18" s="100">
        <v>8.0000000000000002E-3</v>
      </c>
      <c r="Y18" s="100">
        <v>0.15</v>
      </c>
      <c r="Z18" s="104">
        <v>0.47499999999999998</v>
      </c>
      <c r="AA18" s="54">
        <v>2.1999999999999999E-2</v>
      </c>
      <c r="AB18" s="54">
        <v>1.7050000000000001</v>
      </c>
      <c r="AC18" s="54">
        <v>1.4E-2</v>
      </c>
      <c r="AD18" s="54">
        <v>0.57499999999999996</v>
      </c>
      <c r="AE18" s="54">
        <v>2.8000000000000001E-2</v>
      </c>
      <c r="AF18" s="105">
        <v>12</v>
      </c>
      <c r="AG18" s="54">
        <v>0</v>
      </c>
      <c r="AH18" s="54">
        <v>0</v>
      </c>
      <c r="AI18" s="54">
        <v>0</v>
      </c>
      <c r="AJ18" s="54">
        <v>0</v>
      </c>
      <c r="AK18" s="54">
        <v>0</v>
      </c>
      <c r="AL18" s="54">
        <v>0</v>
      </c>
      <c r="AM18" s="54">
        <v>0</v>
      </c>
      <c r="AN18" s="54">
        <v>0.375</v>
      </c>
      <c r="AO18" s="54">
        <v>1.7999999999999999E-2</v>
      </c>
      <c r="AP18" s="93">
        <v>1.7150000000000001</v>
      </c>
      <c r="AQ18" s="54">
        <v>1.6E-2</v>
      </c>
      <c r="AR18" s="54">
        <v>0.45</v>
      </c>
      <c r="AS18" s="54">
        <v>2.1999999999999999E-2</v>
      </c>
      <c r="AT18" s="54">
        <v>18</v>
      </c>
      <c r="AU18" s="54"/>
      <c r="AV18" s="83">
        <v>0</v>
      </c>
      <c r="AW18" s="56" t="s">
        <v>65</v>
      </c>
      <c r="AX18" s="83">
        <v>9</v>
      </c>
      <c r="AY18" s="83">
        <v>9</v>
      </c>
      <c r="AZ18" s="56" t="s">
        <v>65</v>
      </c>
      <c r="BA18" s="83">
        <v>9</v>
      </c>
      <c r="BB18" s="83">
        <v>9</v>
      </c>
      <c r="BC18" s="56" t="s">
        <v>65</v>
      </c>
      <c r="BD18" s="83">
        <v>21</v>
      </c>
      <c r="BE18" s="83">
        <v>21</v>
      </c>
      <c r="BF18" s="56" t="s">
        <v>65</v>
      </c>
      <c r="BG18" s="83">
        <v>21</v>
      </c>
      <c r="BH18" s="83">
        <v>21</v>
      </c>
      <c r="BI18" s="56" t="s">
        <v>65</v>
      </c>
      <c r="BJ18" s="83">
        <v>30</v>
      </c>
      <c r="BK18" s="84"/>
      <c r="BL18" s="104">
        <v>0.47499999999999998</v>
      </c>
      <c r="BM18" s="54">
        <v>2.1999999999999999E-2</v>
      </c>
      <c r="BN18" s="54">
        <v>1.7050000000000001</v>
      </c>
      <c r="BO18" s="54">
        <v>1.4E-2</v>
      </c>
      <c r="BP18" s="54">
        <v>0.57499999999999996</v>
      </c>
      <c r="BQ18" s="105">
        <v>2.8000000000000001E-2</v>
      </c>
      <c r="BR18" s="84"/>
      <c r="BS18" s="107">
        <v>4</v>
      </c>
      <c r="BT18" s="108">
        <v>10</v>
      </c>
      <c r="BU18" s="109">
        <v>0.8</v>
      </c>
      <c r="BV18" s="110">
        <v>8.0000000000000002E-3</v>
      </c>
      <c r="BW18" s="107">
        <v>1.2</v>
      </c>
      <c r="BX18" s="107" t="s">
        <v>78</v>
      </c>
      <c r="BY18" s="111">
        <v>0.1</v>
      </c>
      <c r="BZ18" s="112">
        <v>4.0000000000000001E-3</v>
      </c>
      <c r="CA18" s="107"/>
      <c r="CB18" s="107">
        <v>6</v>
      </c>
      <c r="CC18" s="108">
        <v>1.25</v>
      </c>
      <c r="CD18" s="108">
        <v>1.65</v>
      </c>
      <c r="CE18" s="109">
        <v>0.82499999999999996</v>
      </c>
      <c r="CF18" s="109">
        <v>1.45</v>
      </c>
      <c r="CG18" s="113">
        <v>2</v>
      </c>
      <c r="CH18" s="113">
        <v>3.38</v>
      </c>
      <c r="CI18" s="114">
        <v>6.7999999999999996E-3</v>
      </c>
    </row>
    <row r="19" spans="1:87" ht="15" x14ac:dyDescent="0.25">
      <c r="A19" s="94" t="s">
        <v>92</v>
      </c>
      <c r="B19" s="95"/>
      <c r="C19" s="95" t="s">
        <v>68</v>
      </c>
      <c r="D19" s="96" t="s">
        <v>69</v>
      </c>
      <c r="E19" s="97">
        <v>35</v>
      </c>
      <c r="F19" s="97">
        <v>2</v>
      </c>
      <c r="G19" s="97" t="s">
        <v>89</v>
      </c>
      <c r="H19" s="96"/>
      <c r="I19" s="97">
        <v>8.5</v>
      </c>
      <c r="J19" s="99" t="s">
        <v>71</v>
      </c>
      <c r="K19" s="97" t="s">
        <v>72</v>
      </c>
      <c r="L19" s="97" t="s">
        <v>73</v>
      </c>
      <c r="M19" s="100"/>
      <c r="N19" s="101">
        <v>0.23</v>
      </c>
      <c r="O19" s="96">
        <v>3</v>
      </c>
      <c r="P19" s="96">
        <v>2.875</v>
      </c>
      <c r="Q19" s="100">
        <v>3.5</v>
      </c>
      <c r="R19" s="100">
        <v>11</v>
      </c>
      <c r="S19" s="103" t="s">
        <v>80</v>
      </c>
      <c r="T19" s="100">
        <v>0.2</v>
      </c>
      <c r="U19" s="100">
        <v>0.01</v>
      </c>
      <c r="V19" s="100">
        <v>2</v>
      </c>
      <c r="W19" s="100">
        <v>0.2</v>
      </c>
      <c r="X19" s="100">
        <v>0.01</v>
      </c>
      <c r="Y19" s="100">
        <v>0.15</v>
      </c>
      <c r="Z19" s="104">
        <v>0.5</v>
      </c>
      <c r="AA19" s="54">
        <v>2.5000000000000001E-2</v>
      </c>
      <c r="AB19" s="54">
        <v>1.9930000000000001</v>
      </c>
      <c r="AC19" s="54">
        <v>1.6E-2</v>
      </c>
      <c r="AD19" s="54">
        <v>0.57499999999999996</v>
      </c>
      <c r="AE19" s="54">
        <v>3.2000000000000001E-2</v>
      </c>
      <c r="AF19" s="105">
        <v>11</v>
      </c>
      <c r="AG19" s="54">
        <v>0.42499999999999999</v>
      </c>
      <c r="AH19" s="54">
        <v>2.1999999999999999E-2</v>
      </c>
      <c r="AI19" s="54">
        <v>2.0049999999999999</v>
      </c>
      <c r="AJ19" s="54">
        <v>1.6E-2</v>
      </c>
      <c r="AK19" s="54">
        <v>0.5</v>
      </c>
      <c r="AL19" s="54">
        <v>2.8000000000000001E-2</v>
      </c>
      <c r="AM19" s="54">
        <v>12</v>
      </c>
      <c r="AN19" s="54">
        <v>0.375</v>
      </c>
      <c r="AO19" s="54">
        <v>1.7999999999999999E-2</v>
      </c>
      <c r="AP19" s="54">
        <v>2.0099999999999998</v>
      </c>
      <c r="AQ19" s="54">
        <v>1.7999999999999999E-2</v>
      </c>
      <c r="AR19" s="54">
        <v>0.45</v>
      </c>
      <c r="AS19" s="54">
        <v>2.1999999999999999E-2</v>
      </c>
      <c r="AT19" s="54">
        <v>12</v>
      </c>
      <c r="AU19" s="54"/>
      <c r="AV19" s="83">
        <v>0</v>
      </c>
      <c r="AW19" s="56" t="s">
        <v>65</v>
      </c>
      <c r="AX19" s="83">
        <v>6</v>
      </c>
      <c r="AY19" s="83">
        <v>6</v>
      </c>
      <c r="AZ19" s="56" t="s">
        <v>65</v>
      </c>
      <c r="BA19" s="83">
        <v>12</v>
      </c>
      <c r="BB19" s="83">
        <v>12</v>
      </c>
      <c r="BC19" s="56" t="s">
        <v>65</v>
      </c>
      <c r="BD19" s="83">
        <v>23</v>
      </c>
      <c r="BE19" s="83">
        <v>23</v>
      </c>
      <c r="BF19" s="56" t="s">
        <v>65</v>
      </c>
      <c r="BG19" s="83">
        <v>29</v>
      </c>
      <c r="BH19" s="83">
        <v>29</v>
      </c>
      <c r="BI19" s="56" t="s">
        <v>65</v>
      </c>
      <c r="BJ19" s="83">
        <v>35</v>
      </c>
      <c r="BK19" s="84"/>
      <c r="BL19" s="104">
        <v>0.5</v>
      </c>
      <c r="BM19" s="54">
        <v>2.5000000000000001E-2</v>
      </c>
      <c r="BN19" s="54">
        <v>1.9930000000000001</v>
      </c>
      <c r="BO19" s="54">
        <v>1.6E-2</v>
      </c>
      <c r="BP19" s="54">
        <v>0.57499999999999996</v>
      </c>
      <c r="BQ19" s="105">
        <v>3.2000000000000001E-2</v>
      </c>
      <c r="BR19" s="84"/>
      <c r="BS19" s="107">
        <v>4</v>
      </c>
      <c r="BT19" s="108">
        <v>10</v>
      </c>
      <c r="BU19" s="109">
        <v>0.9</v>
      </c>
      <c r="BV19" s="110">
        <v>8.0000000000000002E-3</v>
      </c>
      <c r="BW19" s="107">
        <v>1.175</v>
      </c>
      <c r="BX19" s="107" t="s">
        <v>81</v>
      </c>
      <c r="BY19" s="111">
        <v>0.1</v>
      </c>
      <c r="BZ19" s="112">
        <v>4.1000000000000003E-3</v>
      </c>
      <c r="CA19" s="107"/>
      <c r="CB19" s="107">
        <v>6</v>
      </c>
      <c r="CC19" s="108">
        <v>1.2749999999999999</v>
      </c>
      <c r="CD19" s="108">
        <v>1.75</v>
      </c>
      <c r="CE19" s="109">
        <v>0.875</v>
      </c>
      <c r="CF19" s="109">
        <v>1.5</v>
      </c>
      <c r="CG19" s="113">
        <v>2</v>
      </c>
      <c r="CH19" s="113">
        <v>3.38</v>
      </c>
      <c r="CI19" s="114">
        <v>7.0000000000000001E-3</v>
      </c>
    </row>
    <row r="20" spans="1:87" ht="15" x14ac:dyDescent="0.25">
      <c r="A20" s="94" t="s">
        <v>93</v>
      </c>
      <c r="B20" s="95"/>
      <c r="C20" s="95" t="s">
        <v>68</v>
      </c>
      <c r="D20" s="96" t="s">
        <v>69</v>
      </c>
      <c r="E20" s="97">
        <v>40</v>
      </c>
      <c r="F20" s="97">
        <v>2</v>
      </c>
      <c r="G20" s="97" t="s">
        <v>89</v>
      </c>
      <c r="H20" s="96"/>
      <c r="I20" s="97">
        <v>8.5</v>
      </c>
      <c r="J20" s="99" t="s">
        <v>71</v>
      </c>
      <c r="K20" s="97" t="s">
        <v>72</v>
      </c>
      <c r="L20" s="97" t="s">
        <v>73</v>
      </c>
      <c r="M20" s="100"/>
      <c r="N20" s="101">
        <v>0.23</v>
      </c>
      <c r="O20" s="96">
        <v>3</v>
      </c>
      <c r="P20" s="96">
        <v>2.875</v>
      </c>
      <c r="Q20" s="100">
        <v>4</v>
      </c>
      <c r="R20" s="100">
        <v>11</v>
      </c>
      <c r="S20" s="103" t="s">
        <v>85</v>
      </c>
      <c r="T20" s="100">
        <v>0.2</v>
      </c>
      <c r="U20" s="100">
        <v>0.01</v>
      </c>
      <c r="V20" s="100">
        <v>2</v>
      </c>
      <c r="W20" s="100">
        <v>0.2</v>
      </c>
      <c r="X20" s="100">
        <v>0.01</v>
      </c>
      <c r="Y20" s="100">
        <v>0.15</v>
      </c>
      <c r="Z20" s="104">
        <v>0.5</v>
      </c>
      <c r="AA20" s="54">
        <v>2.5000000000000001E-2</v>
      </c>
      <c r="AB20" s="54">
        <v>2.2930000000000001</v>
      </c>
      <c r="AC20" s="54">
        <v>1.7999999999999999E-2</v>
      </c>
      <c r="AD20" s="54">
        <v>0.57499999999999996</v>
      </c>
      <c r="AE20" s="54">
        <v>3.2000000000000001E-2</v>
      </c>
      <c r="AF20" s="105">
        <v>12</v>
      </c>
      <c r="AG20" s="54">
        <v>0.42499999999999999</v>
      </c>
      <c r="AH20" s="54">
        <v>2.5000000000000001E-2</v>
      </c>
      <c r="AI20" s="54">
        <v>2.2930000000000001</v>
      </c>
      <c r="AJ20" s="54">
        <v>1.7999999999999999E-2</v>
      </c>
      <c r="AK20" s="54">
        <v>0.5</v>
      </c>
      <c r="AL20" s="54">
        <v>3.2000000000000001E-2</v>
      </c>
      <c r="AM20" s="54">
        <v>14</v>
      </c>
      <c r="AN20" s="54">
        <v>0.375</v>
      </c>
      <c r="AO20" s="54">
        <v>1.7999999999999999E-2</v>
      </c>
      <c r="AP20" s="54">
        <v>2.31</v>
      </c>
      <c r="AQ20" s="54">
        <v>0.02</v>
      </c>
      <c r="AR20" s="54">
        <v>0.45</v>
      </c>
      <c r="AS20" s="54">
        <v>2.1999999999999999E-2</v>
      </c>
      <c r="AT20" s="54">
        <v>14</v>
      </c>
      <c r="AU20" s="54"/>
      <c r="AV20" s="83">
        <v>0</v>
      </c>
      <c r="AW20" s="56" t="s">
        <v>65</v>
      </c>
      <c r="AX20" s="83">
        <v>7</v>
      </c>
      <c r="AY20" s="83">
        <v>7</v>
      </c>
      <c r="AZ20" s="56" t="s">
        <v>65</v>
      </c>
      <c r="BA20" s="83">
        <v>14</v>
      </c>
      <c r="BB20" s="83">
        <v>14</v>
      </c>
      <c r="BC20" s="56" t="s">
        <v>65</v>
      </c>
      <c r="BD20" s="83">
        <v>26</v>
      </c>
      <c r="BE20" s="83">
        <v>26</v>
      </c>
      <c r="BF20" s="56" t="s">
        <v>65</v>
      </c>
      <c r="BG20" s="83">
        <v>33</v>
      </c>
      <c r="BH20" s="83">
        <v>33</v>
      </c>
      <c r="BI20" s="56" t="s">
        <v>65</v>
      </c>
      <c r="BJ20" s="83">
        <v>40</v>
      </c>
      <c r="BK20" s="84"/>
      <c r="BL20" s="104">
        <v>0.5</v>
      </c>
      <c r="BM20" s="54">
        <v>2.5000000000000001E-2</v>
      </c>
      <c r="BN20" s="54">
        <v>2.2930000000000001</v>
      </c>
      <c r="BO20" s="54">
        <v>1.7999999999999999E-2</v>
      </c>
      <c r="BP20" s="54">
        <v>0.57499999999999996</v>
      </c>
      <c r="BQ20" s="105">
        <v>3.2000000000000001E-2</v>
      </c>
      <c r="BR20" s="84"/>
      <c r="BS20" s="107">
        <v>4</v>
      </c>
      <c r="BT20" s="108">
        <v>10</v>
      </c>
      <c r="BU20" s="109">
        <v>0.9</v>
      </c>
      <c r="BV20" s="110">
        <v>8.0000000000000002E-3</v>
      </c>
      <c r="BW20" s="107">
        <v>1.2749999999999999</v>
      </c>
      <c r="BX20" s="107" t="s">
        <v>81</v>
      </c>
      <c r="BY20" s="111">
        <v>0.1</v>
      </c>
      <c r="BZ20" s="112">
        <v>3.8E-3</v>
      </c>
      <c r="CA20" s="107"/>
      <c r="CB20" s="107">
        <v>6</v>
      </c>
      <c r="CC20" s="108">
        <v>1.3</v>
      </c>
      <c r="CD20" s="108">
        <v>1.85</v>
      </c>
      <c r="CE20" s="109">
        <v>0.92500000000000004</v>
      </c>
      <c r="CF20" s="109">
        <v>1.55</v>
      </c>
      <c r="CG20" s="113">
        <v>2</v>
      </c>
      <c r="CH20" s="113">
        <v>3.38</v>
      </c>
      <c r="CI20" s="114">
        <v>6.7000000000000002E-3</v>
      </c>
    </row>
    <row r="21" spans="1:87" ht="15" x14ac:dyDescent="0.25">
      <c r="A21" s="94" t="s">
        <v>94</v>
      </c>
      <c r="B21" s="95"/>
      <c r="C21" s="95" t="s">
        <v>68</v>
      </c>
      <c r="D21" s="96" t="s">
        <v>69</v>
      </c>
      <c r="E21" s="97">
        <v>45</v>
      </c>
      <c r="F21" s="97">
        <v>2</v>
      </c>
      <c r="G21" s="97" t="s">
        <v>89</v>
      </c>
      <c r="H21" s="96"/>
      <c r="I21" s="97">
        <v>8.5</v>
      </c>
      <c r="J21" s="99" t="s">
        <v>71</v>
      </c>
      <c r="K21" s="97" t="s">
        <v>72</v>
      </c>
      <c r="L21" s="97" t="s">
        <v>73</v>
      </c>
      <c r="M21" s="100"/>
      <c r="N21" s="101">
        <v>0.23</v>
      </c>
      <c r="O21" s="96">
        <v>3</v>
      </c>
      <c r="P21" s="96">
        <v>2.875</v>
      </c>
      <c r="Q21" s="100">
        <v>3.75</v>
      </c>
      <c r="R21" s="100">
        <v>13</v>
      </c>
      <c r="S21" s="103" t="s">
        <v>87</v>
      </c>
      <c r="T21" s="100">
        <v>0.2</v>
      </c>
      <c r="U21" s="100">
        <v>0.01</v>
      </c>
      <c r="V21" s="100">
        <v>2</v>
      </c>
      <c r="W21" s="100">
        <v>0.2</v>
      </c>
      <c r="X21" s="100">
        <v>0.01</v>
      </c>
      <c r="Y21" s="100">
        <v>0.15</v>
      </c>
      <c r="Z21" s="104">
        <v>0.5</v>
      </c>
      <c r="AA21" s="54">
        <v>2.5000000000000001E-2</v>
      </c>
      <c r="AB21" s="54">
        <v>2.593</v>
      </c>
      <c r="AC21" s="54">
        <v>0.02</v>
      </c>
      <c r="AD21" s="54">
        <v>0.57499999999999996</v>
      </c>
      <c r="AE21" s="54">
        <v>3.2000000000000001E-2</v>
      </c>
      <c r="AF21" s="105">
        <v>12</v>
      </c>
      <c r="AG21" s="54">
        <v>0.42499999999999999</v>
      </c>
      <c r="AH21" s="54">
        <v>2.5000000000000001E-2</v>
      </c>
      <c r="AI21" s="54">
        <v>2.593</v>
      </c>
      <c r="AJ21" s="54">
        <v>0.02</v>
      </c>
      <c r="AK21" s="54">
        <v>0.5</v>
      </c>
      <c r="AL21" s="54">
        <v>3.2000000000000001E-2</v>
      </c>
      <c r="AM21" s="54">
        <v>21</v>
      </c>
      <c r="AN21" s="54">
        <v>0.375</v>
      </c>
      <c r="AO21" s="54">
        <v>1.7999999999999999E-2</v>
      </c>
      <c r="AP21" s="54">
        <v>2.61</v>
      </c>
      <c r="AQ21" s="54">
        <v>2.1999999999999999E-2</v>
      </c>
      <c r="AR21" s="54">
        <v>0.45</v>
      </c>
      <c r="AS21" s="54">
        <v>2.1999999999999999E-2</v>
      </c>
      <c r="AT21" s="54">
        <v>12</v>
      </c>
      <c r="AU21" s="54"/>
      <c r="AV21" s="83">
        <v>0</v>
      </c>
      <c r="AW21" s="56" t="s">
        <v>65</v>
      </c>
      <c r="AX21" s="83">
        <v>6</v>
      </c>
      <c r="AY21" s="83">
        <v>6</v>
      </c>
      <c r="AZ21" s="56" t="s">
        <v>65</v>
      </c>
      <c r="BA21" s="83">
        <v>16.5</v>
      </c>
      <c r="BB21" s="83">
        <v>16.5</v>
      </c>
      <c r="BC21" s="56" t="s">
        <v>65</v>
      </c>
      <c r="BD21" s="83">
        <v>28.5</v>
      </c>
      <c r="BE21" s="83">
        <v>28.5</v>
      </c>
      <c r="BF21" s="56" t="s">
        <v>65</v>
      </c>
      <c r="BG21" s="83">
        <v>39</v>
      </c>
      <c r="BH21" s="83">
        <v>39</v>
      </c>
      <c r="BI21" s="56" t="s">
        <v>65</v>
      </c>
      <c r="BJ21" s="83">
        <v>45</v>
      </c>
      <c r="BK21" s="84"/>
      <c r="BL21" s="104">
        <v>0.5</v>
      </c>
      <c r="BM21" s="54">
        <v>2.5000000000000001E-2</v>
      </c>
      <c r="BN21" s="54">
        <v>2.593</v>
      </c>
      <c r="BO21" s="54">
        <v>0.02</v>
      </c>
      <c r="BP21" s="54">
        <v>0.57499999999999996</v>
      </c>
      <c r="BQ21" s="105">
        <v>3.2000000000000001E-2</v>
      </c>
      <c r="BR21" s="84"/>
      <c r="BS21" s="107">
        <v>4</v>
      </c>
      <c r="BT21" s="108">
        <v>10</v>
      </c>
      <c r="BU21" s="109">
        <v>1</v>
      </c>
      <c r="BV21" s="110">
        <v>8.0000000000000002E-3</v>
      </c>
      <c r="BW21" s="107">
        <v>1.3</v>
      </c>
      <c r="BX21" s="107" t="s">
        <v>83</v>
      </c>
      <c r="BY21" s="111">
        <v>0.1</v>
      </c>
      <c r="BZ21" s="112">
        <v>3.7000000000000002E-3</v>
      </c>
      <c r="CA21" s="107"/>
      <c r="CB21" s="107">
        <v>6</v>
      </c>
      <c r="CC21" s="108">
        <v>1.325</v>
      </c>
      <c r="CD21" s="108">
        <v>1.95</v>
      </c>
      <c r="CE21" s="109">
        <v>0.97499999999999998</v>
      </c>
      <c r="CF21" s="109">
        <v>1.6</v>
      </c>
      <c r="CG21" s="113">
        <v>2</v>
      </c>
      <c r="CH21" s="113">
        <v>3.38</v>
      </c>
      <c r="CI21" s="114">
        <v>6.4000000000000003E-3</v>
      </c>
    </row>
    <row r="22" spans="1:87" ht="15" x14ac:dyDescent="0.25">
      <c r="A22" s="115" t="s">
        <v>95</v>
      </c>
      <c r="B22" s="116"/>
      <c r="C22" s="116" t="s">
        <v>68</v>
      </c>
      <c r="D22" s="117" t="s">
        <v>69</v>
      </c>
      <c r="E22" s="118">
        <v>20</v>
      </c>
      <c r="F22" s="118">
        <v>3</v>
      </c>
      <c r="G22" s="118" t="s">
        <v>70</v>
      </c>
      <c r="H22" s="117"/>
      <c r="I22" s="118">
        <v>13.5</v>
      </c>
      <c r="J22" s="119" t="s">
        <v>71</v>
      </c>
      <c r="K22" s="118" t="s">
        <v>72</v>
      </c>
      <c r="L22" s="118" t="s">
        <v>73</v>
      </c>
      <c r="M22" s="120"/>
      <c r="N22" s="121">
        <v>0.23</v>
      </c>
      <c r="O22" s="117">
        <v>5</v>
      </c>
      <c r="P22" s="117">
        <v>2.75</v>
      </c>
      <c r="Q22" s="120">
        <v>4</v>
      </c>
      <c r="R22" s="120">
        <v>6</v>
      </c>
      <c r="S22" s="122" t="s">
        <v>74</v>
      </c>
      <c r="T22" s="120">
        <v>0.2</v>
      </c>
      <c r="U22" s="120">
        <v>1.4999999999999999E-2</v>
      </c>
      <c r="V22" s="120">
        <v>1.5</v>
      </c>
      <c r="W22" s="120">
        <v>0.2</v>
      </c>
      <c r="X22" s="120">
        <v>1.4999999999999999E-2</v>
      </c>
      <c r="Y22" s="120">
        <v>0.15</v>
      </c>
      <c r="Z22" s="123">
        <v>0.4</v>
      </c>
      <c r="AA22" s="124">
        <v>0.02</v>
      </c>
      <c r="AB22" s="124">
        <v>1.0049999999999999</v>
      </c>
      <c r="AC22" s="124">
        <v>8.0000000000000002E-3</v>
      </c>
      <c r="AD22" s="124">
        <v>0.5</v>
      </c>
      <c r="AE22" s="124">
        <v>2.5000000000000001E-2</v>
      </c>
      <c r="AF22" s="125">
        <v>8</v>
      </c>
      <c r="AG22" s="124">
        <v>0</v>
      </c>
      <c r="AH22" s="124">
        <v>0</v>
      </c>
      <c r="AI22" s="124">
        <v>0</v>
      </c>
      <c r="AJ22" s="124">
        <v>0</v>
      </c>
      <c r="AK22" s="124">
        <v>0</v>
      </c>
      <c r="AL22" s="124">
        <v>0</v>
      </c>
      <c r="AM22" s="124">
        <v>0</v>
      </c>
      <c r="AN22" s="124">
        <v>0.375</v>
      </c>
      <c r="AO22" s="124">
        <v>1.6E-2</v>
      </c>
      <c r="AP22" s="124">
        <v>1.014</v>
      </c>
      <c r="AQ22" s="124">
        <v>0.01</v>
      </c>
      <c r="AR22" s="124">
        <v>0.42499999999999999</v>
      </c>
      <c r="AS22" s="124">
        <v>0.02</v>
      </c>
      <c r="AT22" s="124">
        <v>12</v>
      </c>
      <c r="AU22" s="124"/>
      <c r="AV22" s="83">
        <v>0</v>
      </c>
      <c r="AW22" s="56" t="s">
        <v>65</v>
      </c>
      <c r="AX22" s="83">
        <v>6</v>
      </c>
      <c r="AY22" s="83">
        <v>6</v>
      </c>
      <c r="AZ22" s="56" t="s">
        <v>65</v>
      </c>
      <c r="BA22" s="83">
        <v>6</v>
      </c>
      <c r="BB22" s="83">
        <v>6</v>
      </c>
      <c r="BC22" s="56" t="s">
        <v>65</v>
      </c>
      <c r="BD22" s="83">
        <v>14</v>
      </c>
      <c r="BE22" s="83">
        <v>14</v>
      </c>
      <c r="BF22" s="56" t="s">
        <v>65</v>
      </c>
      <c r="BG22" s="83">
        <v>14</v>
      </c>
      <c r="BH22" s="83">
        <v>14</v>
      </c>
      <c r="BI22" s="56" t="s">
        <v>65</v>
      </c>
      <c r="BJ22" s="83">
        <v>20</v>
      </c>
      <c r="BK22" s="84"/>
      <c r="BL22" s="123">
        <v>0.4</v>
      </c>
      <c r="BM22" s="124">
        <v>0.02</v>
      </c>
      <c r="BN22" s="124">
        <v>1.0049999999999999</v>
      </c>
      <c r="BO22" s="124">
        <v>8.0000000000000002E-3</v>
      </c>
      <c r="BP22" s="124">
        <v>0.5</v>
      </c>
      <c r="BQ22" s="125">
        <v>2.5000000000000001E-2</v>
      </c>
      <c r="BR22" s="126"/>
      <c r="BS22" s="127">
        <v>4</v>
      </c>
      <c r="BT22" s="128">
        <v>10</v>
      </c>
      <c r="BU22" s="129">
        <v>0.8</v>
      </c>
      <c r="BV22" s="130">
        <v>8.0000000000000002E-3</v>
      </c>
      <c r="BW22" s="127">
        <v>1.05</v>
      </c>
      <c r="BX22" s="127" t="s">
        <v>78</v>
      </c>
      <c r="BY22" s="127">
        <v>0.1</v>
      </c>
      <c r="BZ22" s="131">
        <v>4.5999999999999999E-3</v>
      </c>
      <c r="CA22" s="127"/>
      <c r="CB22" s="127">
        <v>6</v>
      </c>
      <c r="CC22" s="128">
        <v>1.55</v>
      </c>
      <c r="CD22" s="128">
        <v>1.6</v>
      </c>
      <c r="CE22" s="129">
        <v>0.8</v>
      </c>
      <c r="CF22" s="129">
        <v>1.6</v>
      </c>
      <c r="CG22" s="126">
        <v>2</v>
      </c>
      <c r="CH22" s="126">
        <v>5</v>
      </c>
      <c r="CI22" s="132">
        <v>1.29E-2</v>
      </c>
    </row>
    <row r="23" spans="1:87" ht="15" x14ac:dyDescent="0.25">
      <c r="A23" s="115" t="s">
        <v>96</v>
      </c>
      <c r="B23" s="116"/>
      <c r="C23" s="116" t="s">
        <v>68</v>
      </c>
      <c r="D23" s="117" t="s">
        <v>69</v>
      </c>
      <c r="E23" s="118">
        <v>25</v>
      </c>
      <c r="F23" s="118">
        <v>3</v>
      </c>
      <c r="G23" s="118" t="s">
        <v>70</v>
      </c>
      <c r="H23" s="117"/>
      <c r="I23" s="118">
        <v>13.5</v>
      </c>
      <c r="J23" s="119" t="s">
        <v>71</v>
      </c>
      <c r="K23" s="118" t="s">
        <v>72</v>
      </c>
      <c r="L23" s="118" t="s">
        <v>73</v>
      </c>
      <c r="M23" s="120"/>
      <c r="N23" s="121">
        <v>0.23</v>
      </c>
      <c r="O23" s="117">
        <v>5</v>
      </c>
      <c r="P23" s="117">
        <v>2.75</v>
      </c>
      <c r="Q23" s="120">
        <v>3.5710000000000002</v>
      </c>
      <c r="R23" s="120">
        <v>8</v>
      </c>
      <c r="S23" s="122" t="s">
        <v>77</v>
      </c>
      <c r="T23" s="120">
        <v>0.2</v>
      </c>
      <c r="U23" s="120">
        <v>1.4999999999999999E-2</v>
      </c>
      <c r="V23" s="120">
        <v>1.5</v>
      </c>
      <c r="W23" s="120">
        <v>0.2</v>
      </c>
      <c r="X23" s="120">
        <v>1.4999999999999999E-2</v>
      </c>
      <c r="Y23" s="120">
        <v>0.15</v>
      </c>
      <c r="Z23" s="123">
        <v>0.4</v>
      </c>
      <c r="AA23" s="124">
        <v>0.02</v>
      </c>
      <c r="AB23" s="124">
        <v>1.33</v>
      </c>
      <c r="AC23" s="124">
        <v>8.0000000000000002E-3</v>
      </c>
      <c r="AD23" s="124">
        <v>0.5</v>
      </c>
      <c r="AE23" s="124">
        <v>2.5000000000000001E-2</v>
      </c>
      <c r="AF23" s="125">
        <v>9</v>
      </c>
      <c r="AG23" s="124">
        <v>0</v>
      </c>
      <c r="AH23" s="124">
        <v>0</v>
      </c>
      <c r="AI23" s="124">
        <v>0</v>
      </c>
      <c r="AJ23" s="124">
        <v>0</v>
      </c>
      <c r="AK23" s="124">
        <v>0</v>
      </c>
      <c r="AL23" s="124">
        <v>0</v>
      </c>
      <c r="AM23" s="124">
        <v>0</v>
      </c>
      <c r="AN23" s="124">
        <v>0.375</v>
      </c>
      <c r="AO23" s="124">
        <v>1.6E-2</v>
      </c>
      <c r="AP23" s="124">
        <v>1.339</v>
      </c>
      <c r="AQ23" s="124">
        <v>1.2E-2</v>
      </c>
      <c r="AR23" s="124">
        <v>0.42499999999999999</v>
      </c>
      <c r="AS23" s="124">
        <v>0.02</v>
      </c>
      <c r="AT23" s="124">
        <v>16</v>
      </c>
      <c r="AU23" s="124"/>
      <c r="AV23" s="83">
        <v>0</v>
      </c>
      <c r="AW23" s="56" t="s">
        <v>65</v>
      </c>
      <c r="AX23" s="83">
        <v>8</v>
      </c>
      <c r="AY23" s="83">
        <v>8</v>
      </c>
      <c r="AZ23" s="56" t="s">
        <v>65</v>
      </c>
      <c r="BA23" s="83">
        <v>8</v>
      </c>
      <c r="BB23" s="83">
        <v>8</v>
      </c>
      <c r="BC23" s="56" t="s">
        <v>65</v>
      </c>
      <c r="BD23" s="83">
        <v>17</v>
      </c>
      <c r="BE23" s="83">
        <v>17</v>
      </c>
      <c r="BF23" s="56" t="s">
        <v>65</v>
      </c>
      <c r="BG23" s="83">
        <v>17</v>
      </c>
      <c r="BH23" s="83">
        <v>17</v>
      </c>
      <c r="BI23" s="56" t="s">
        <v>65</v>
      </c>
      <c r="BJ23" s="83">
        <v>25</v>
      </c>
      <c r="BK23" s="84"/>
      <c r="BL23" s="123">
        <v>0.4</v>
      </c>
      <c r="BM23" s="124">
        <v>0.02</v>
      </c>
      <c r="BN23" s="124">
        <v>1.33</v>
      </c>
      <c r="BO23" s="124">
        <v>8.0000000000000002E-3</v>
      </c>
      <c r="BP23" s="124">
        <v>0.5</v>
      </c>
      <c r="BQ23" s="125">
        <v>2.5000000000000001E-2</v>
      </c>
      <c r="BR23" s="126"/>
      <c r="BS23" s="127">
        <v>4</v>
      </c>
      <c r="BT23" s="128">
        <v>10</v>
      </c>
      <c r="BU23" s="129">
        <v>0.9</v>
      </c>
      <c r="BV23" s="130">
        <v>8.0000000000000002E-3</v>
      </c>
      <c r="BW23" s="127">
        <v>1.3</v>
      </c>
      <c r="BX23" s="127" t="s">
        <v>81</v>
      </c>
      <c r="BY23" s="127">
        <v>0.1</v>
      </c>
      <c r="BZ23" s="131">
        <v>3.7000000000000002E-3</v>
      </c>
      <c r="CA23" s="127"/>
      <c r="CB23" s="127">
        <v>6</v>
      </c>
      <c r="CC23" s="128">
        <v>1.65</v>
      </c>
      <c r="CD23" s="128">
        <v>1.7</v>
      </c>
      <c r="CE23" s="129">
        <v>0.85</v>
      </c>
      <c r="CF23" s="129">
        <v>1.7</v>
      </c>
      <c r="CG23" s="126">
        <v>2</v>
      </c>
      <c r="CH23" s="126">
        <v>5</v>
      </c>
      <c r="CI23" s="132">
        <v>1.21E-2</v>
      </c>
    </row>
    <row r="24" spans="1:87" ht="15" x14ac:dyDescent="0.25">
      <c r="A24" s="115" t="s">
        <v>97</v>
      </c>
      <c r="B24" s="116"/>
      <c r="C24" s="116" t="s">
        <v>68</v>
      </c>
      <c r="D24" s="117" t="s">
        <v>69</v>
      </c>
      <c r="E24" s="118">
        <v>30</v>
      </c>
      <c r="F24" s="118">
        <v>3</v>
      </c>
      <c r="G24" s="118" t="s">
        <v>70</v>
      </c>
      <c r="H24" s="117"/>
      <c r="I24" s="118">
        <v>13.5</v>
      </c>
      <c r="J24" s="119" t="s">
        <v>71</v>
      </c>
      <c r="K24" s="118" t="s">
        <v>72</v>
      </c>
      <c r="L24" s="118" t="s">
        <v>73</v>
      </c>
      <c r="M24" s="120"/>
      <c r="N24" s="121">
        <v>0.23</v>
      </c>
      <c r="O24" s="117">
        <v>5</v>
      </c>
      <c r="P24" s="117">
        <v>2.75</v>
      </c>
      <c r="Q24" s="120">
        <v>3.75</v>
      </c>
      <c r="R24" s="120">
        <v>9</v>
      </c>
      <c r="S24" s="122" t="s">
        <v>80</v>
      </c>
      <c r="T24" s="120">
        <v>0.2</v>
      </c>
      <c r="U24" s="120">
        <v>1.4999999999999999E-2</v>
      </c>
      <c r="V24" s="120">
        <v>1.5</v>
      </c>
      <c r="W24" s="120">
        <v>0.2</v>
      </c>
      <c r="X24" s="120">
        <v>1.4999999999999999E-2</v>
      </c>
      <c r="Y24" s="120">
        <v>0.15</v>
      </c>
      <c r="Z24" s="123">
        <v>0.4</v>
      </c>
      <c r="AA24" s="124">
        <v>0.02</v>
      </c>
      <c r="AB24" s="124">
        <v>1.7050000000000001</v>
      </c>
      <c r="AC24" s="124">
        <v>0.01</v>
      </c>
      <c r="AD24" s="124">
        <v>0.5</v>
      </c>
      <c r="AE24" s="124">
        <v>2.5000000000000001E-2</v>
      </c>
      <c r="AF24" s="125">
        <v>12</v>
      </c>
      <c r="AG24" s="124">
        <v>0</v>
      </c>
      <c r="AH24" s="124">
        <v>0</v>
      </c>
      <c r="AI24" s="124">
        <v>0</v>
      </c>
      <c r="AJ24" s="124">
        <v>0</v>
      </c>
      <c r="AK24" s="124">
        <v>0</v>
      </c>
      <c r="AL24" s="124">
        <v>0</v>
      </c>
      <c r="AM24" s="124">
        <v>0</v>
      </c>
      <c r="AN24" s="124">
        <v>0.35</v>
      </c>
      <c r="AO24" s="124">
        <v>1.6E-2</v>
      </c>
      <c r="AP24" s="124">
        <v>1.714</v>
      </c>
      <c r="AQ24" s="124">
        <v>1.4E-2</v>
      </c>
      <c r="AR24" s="124">
        <v>0.4</v>
      </c>
      <c r="AS24" s="124">
        <v>0.02</v>
      </c>
      <c r="AT24" s="124">
        <v>18</v>
      </c>
      <c r="AU24" s="124"/>
      <c r="AV24" s="83">
        <v>0</v>
      </c>
      <c r="AW24" s="56" t="s">
        <v>65</v>
      </c>
      <c r="AX24" s="83">
        <v>9</v>
      </c>
      <c r="AY24" s="83">
        <v>9</v>
      </c>
      <c r="AZ24" s="56" t="s">
        <v>65</v>
      </c>
      <c r="BA24" s="83">
        <v>9</v>
      </c>
      <c r="BB24" s="83">
        <v>9</v>
      </c>
      <c r="BC24" s="56" t="s">
        <v>65</v>
      </c>
      <c r="BD24" s="83">
        <v>21</v>
      </c>
      <c r="BE24" s="83">
        <v>21</v>
      </c>
      <c r="BF24" s="56" t="s">
        <v>65</v>
      </c>
      <c r="BG24" s="83">
        <v>21</v>
      </c>
      <c r="BH24" s="83">
        <v>21</v>
      </c>
      <c r="BI24" s="56" t="s">
        <v>65</v>
      </c>
      <c r="BJ24" s="83">
        <v>30</v>
      </c>
      <c r="BK24" s="84"/>
      <c r="BL24" s="123">
        <v>0.4</v>
      </c>
      <c r="BM24" s="124">
        <v>0.02</v>
      </c>
      <c r="BN24" s="124">
        <v>1.7050000000000001</v>
      </c>
      <c r="BO24" s="124">
        <v>0.01</v>
      </c>
      <c r="BP24" s="124">
        <v>0.5</v>
      </c>
      <c r="BQ24" s="125">
        <v>2.5000000000000001E-2</v>
      </c>
      <c r="BR24" s="126"/>
      <c r="BS24" s="127">
        <v>4</v>
      </c>
      <c r="BT24" s="128">
        <v>10</v>
      </c>
      <c r="BU24" s="129">
        <v>0.9</v>
      </c>
      <c r="BV24" s="130">
        <v>8.0000000000000002E-3</v>
      </c>
      <c r="BW24" s="127">
        <v>1.4750000000000001</v>
      </c>
      <c r="BX24" s="127" t="s">
        <v>81</v>
      </c>
      <c r="BY24" s="127">
        <v>0.1</v>
      </c>
      <c r="BZ24" s="131">
        <v>3.3E-3</v>
      </c>
      <c r="CA24" s="127"/>
      <c r="CB24" s="127">
        <v>6</v>
      </c>
      <c r="CC24" s="128">
        <v>1.7</v>
      </c>
      <c r="CD24" s="128">
        <v>1.8</v>
      </c>
      <c r="CE24" s="129">
        <v>0.9</v>
      </c>
      <c r="CF24" s="129">
        <v>1.75</v>
      </c>
      <c r="CG24" s="126">
        <v>2</v>
      </c>
      <c r="CH24" s="126">
        <v>5</v>
      </c>
      <c r="CI24" s="132">
        <v>1.1900000000000001E-2</v>
      </c>
    </row>
    <row r="25" spans="1:87" ht="15" x14ac:dyDescent="0.25">
      <c r="A25" s="115" t="s">
        <v>98</v>
      </c>
      <c r="B25" s="116"/>
      <c r="C25" s="116" t="s">
        <v>68</v>
      </c>
      <c r="D25" s="117" t="s">
        <v>69</v>
      </c>
      <c r="E25" s="118">
        <v>35</v>
      </c>
      <c r="F25" s="118">
        <v>3</v>
      </c>
      <c r="G25" s="118" t="s">
        <v>70</v>
      </c>
      <c r="H25" s="117"/>
      <c r="I25" s="118">
        <v>13.5</v>
      </c>
      <c r="J25" s="119" t="s">
        <v>71</v>
      </c>
      <c r="K25" s="118" t="s">
        <v>72</v>
      </c>
      <c r="L25" s="118" t="s">
        <v>73</v>
      </c>
      <c r="M25" s="120"/>
      <c r="N25" s="121">
        <v>0.23</v>
      </c>
      <c r="O25" s="117">
        <v>5</v>
      </c>
      <c r="P25" s="117">
        <v>2.75</v>
      </c>
      <c r="Q25" s="120">
        <v>3.5</v>
      </c>
      <c r="R25" s="120">
        <v>11</v>
      </c>
      <c r="S25" s="122" t="s">
        <v>80</v>
      </c>
      <c r="T25" s="120">
        <v>0.2</v>
      </c>
      <c r="U25" s="120">
        <v>0.01</v>
      </c>
      <c r="V25" s="120">
        <v>1.5</v>
      </c>
      <c r="W25" s="120">
        <v>0.2</v>
      </c>
      <c r="X25" s="120">
        <v>0.01</v>
      </c>
      <c r="Y25" s="120">
        <v>0.15</v>
      </c>
      <c r="Z25" s="92">
        <v>0.45</v>
      </c>
      <c r="AA25" s="124">
        <v>0.02</v>
      </c>
      <c r="AB25" s="124">
        <v>2.0049999999999999</v>
      </c>
      <c r="AC25" s="124">
        <v>1.2E-2</v>
      </c>
      <c r="AD25" s="93">
        <v>0.55000000000000004</v>
      </c>
      <c r="AE25" s="124">
        <v>2.5000000000000001E-2</v>
      </c>
      <c r="AF25" s="125">
        <v>11</v>
      </c>
      <c r="AG25" s="124">
        <v>0.4</v>
      </c>
      <c r="AH25" s="124">
        <v>0.02</v>
      </c>
      <c r="AI25" s="124">
        <v>2.0049999999999999</v>
      </c>
      <c r="AJ25" s="124">
        <v>1.2E-2</v>
      </c>
      <c r="AK25" s="124">
        <v>0.47499999999999998</v>
      </c>
      <c r="AL25" s="124">
        <v>2.5000000000000001E-2</v>
      </c>
      <c r="AM25" s="124">
        <v>12</v>
      </c>
      <c r="AN25" s="124">
        <v>0.35</v>
      </c>
      <c r="AO25" s="124">
        <v>1.6E-2</v>
      </c>
      <c r="AP25" s="124">
        <v>2.0139999999999998</v>
      </c>
      <c r="AQ25" s="124">
        <v>1.4E-2</v>
      </c>
      <c r="AR25" s="124">
        <v>0.4</v>
      </c>
      <c r="AS25" s="124">
        <v>0.02</v>
      </c>
      <c r="AT25" s="124">
        <v>12</v>
      </c>
      <c r="AU25" s="124"/>
      <c r="AV25" s="83">
        <v>0</v>
      </c>
      <c r="AW25" s="56" t="s">
        <v>65</v>
      </c>
      <c r="AX25" s="83">
        <v>6</v>
      </c>
      <c r="AY25" s="83">
        <v>6</v>
      </c>
      <c r="AZ25" s="56" t="s">
        <v>65</v>
      </c>
      <c r="BA25" s="83">
        <v>12</v>
      </c>
      <c r="BB25" s="83">
        <v>12</v>
      </c>
      <c r="BC25" s="56" t="s">
        <v>65</v>
      </c>
      <c r="BD25" s="83">
        <v>23</v>
      </c>
      <c r="BE25" s="83">
        <v>23</v>
      </c>
      <c r="BF25" s="56" t="s">
        <v>65</v>
      </c>
      <c r="BG25" s="83">
        <v>29</v>
      </c>
      <c r="BH25" s="83">
        <v>29</v>
      </c>
      <c r="BI25" s="56" t="s">
        <v>65</v>
      </c>
      <c r="BJ25" s="83">
        <v>35</v>
      </c>
      <c r="BK25" s="84"/>
      <c r="BL25" s="92">
        <v>0.45</v>
      </c>
      <c r="BM25" s="124">
        <v>0.02</v>
      </c>
      <c r="BN25" s="124">
        <v>2.0049999999999999</v>
      </c>
      <c r="BO25" s="124">
        <v>1.2E-2</v>
      </c>
      <c r="BP25" s="93">
        <v>0.55000000000000004</v>
      </c>
      <c r="BQ25" s="125">
        <v>2.5000000000000001E-2</v>
      </c>
      <c r="BR25" s="126"/>
      <c r="BS25" s="127">
        <v>4</v>
      </c>
      <c r="BT25" s="128">
        <v>10</v>
      </c>
      <c r="BU25" s="129">
        <v>1</v>
      </c>
      <c r="BV25" s="133">
        <v>8.0000000000000002E-3</v>
      </c>
      <c r="BW25" s="127">
        <v>1.2749999999999999</v>
      </c>
      <c r="BX25" s="127" t="s">
        <v>83</v>
      </c>
      <c r="BY25" s="127">
        <v>0.1</v>
      </c>
      <c r="BZ25" s="131">
        <v>3.8E-3</v>
      </c>
      <c r="CA25" s="127"/>
      <c r="CB25" s="127">
        <v>6</v>
      </c>
      <c r="CC25" s="128">
        <v>1.75</v>
      </c>
      <c r="CD25" s="128">
        <v>1.9</v>
      </c>
      <c r="CE25" s="129">
        <v>0.95</v>
      </c>
      <c r="CF25" s="134">
        <v>1.8</v>
      </c>
      <c r="CG25" s="126">
        <v>2</v>
      </c>
      <c r="CH25" s="126">
        <v>5</v>
      </c>
      <c r="CI25" s="132">
        <v>1.2699999999999999E-2</v>
      </c>
    </row>
    <row r="26" spans="1:87" ht="15" x14ac:dyDescent="0.25">
      <c r="A26" s="115" t="s">
        <v>99</v>
      </c>
      <c r="B26" s="116"/>
      <c r="C26" s="116" t="s">
        <v>68</v>
      </c>
      <c r="D26" s="117" t="s">
        <v>69</v>
      </c>
      <c r="E26" s="118">
        <v>40</v>
      </c>
      <c r="F26" s="118">
        <v>3</v>
      </c>
      <c r="G26" s="118" t="s">
        <v>70</v>
      </c>
      <c r="H26" s="117"/>
      <c r="I26" s="118">
        <v>13.5</v>
      </c>
      <c r="J26" s="119" t="s">
        <v>71</v>
      </c>
      <c r="K26" s="118" t="s">
        <v>72</v>
      </c>
      <c r="L26" s="118" t="s">
        <v>73</v>
      </c>
      <c r="M26" s="120"/>
      <c r="N26" s="121">
        <v>0.23</v>
      </c>
      <c r="O26" s="117">
        <v>5</v>
      </c>
      <c r="P26" s="117">
        <v>2.75</v>
      </c>
      <c r="Q26" s="120">
        <v>4</v>
      </c>
      <c r="R26" s="120">
        <v>11</v>
      </c>
      <c r="S26" s="122" t="s">
        <v>85</v>
      </c>
      <c r="T26" s="120">
        <v>0.2</v>
      </c>
      <c r="U26" s="120">
        <v>1.6E-2</v>
      </c>
      <c r="V26" s="120">
        <v>1.5</v>
      </c>
      <c r="W26" s="120">
        <v>0.2</v>
      </c>
      <c r="X26" s="120">
        <v>1.6E-2</v>
      </c>
      <c r="Y26" s="120">
        <v>0.15</v>
      </c>
      <c r="Z26" s="123">
        <v>0.45</v>
      </c>
      <c r="AA26" s="124">
        <v>2.1999999999999999E-2</v>
      </c>
      <c r="AB26" s="124">
        <v>2.2999999999999998</v>
      </c>
      <c r="AC26" s="124">
        <v>1.4E-2</v>
      </c>
      <c r="AD26" s="124">
        <v>0.55000000000000004</v>
      </c>
      <c r="AE26" s="124">
        <v>2.8000000000000001E-2</v>
      </c>
      <c r="AF26" s="125">
        <v>12</v>
      </c>
      <c r="AG26" s="124">
        <v>0.4</v>
      </c>
      <c r="AH26" s="124">
        <v>2.1999999999999999E-2</v>
      </c>
      <c r="AI26" s="93">
        <v>2.2999999999999998</v>
      </c>
      <c r="AJ26" s="124">
        <v>1.4E-2</v>
      </c>
      <c r="AK26" s="124">
        <v>0.47499999999999998</v>
      </c>
      <c r="AL26" s="124">
        <v>2.8000000000000001E-2</v>
      </c>
      <c r="AM26" s="124">
        <v>14</v>
      </c>
      <c r="AN26" s="124">
        <v>0.35</v>
      </c>
      <c r="AO26" s="124">
        <v>1.6E-2</v>
      </c>
      <c r="AP26" s="124">
        <v>2.3140000000000001</v>
      </c>
      <c r="AQ26" s="124">
        <v>1.6E-2</v>
      </c>
      <c r="AR26" s="124">
        <v>0.45</v>
      </c>
      <c r="AS26" s="124">
        <v>0.02</v>
      </c>
      <c r="AT26" s="124">
        <v>14</v>
      </c>
      <c r="AU26" s="124"/>
      <c r="AV26" s="83">
        <v>0</v>
      </c>
      <c r="AW26" s="56" t="s">
        <v>65</v>
      </c>
      <c r="AX26" s="83">
        <v>7</v>
      </c>
      <c r="AY26" s="83">
        <v>7</v>
      </c>
      <c r="AZ26" s="56" t="s">
        <v>65</v>
      </c>
      <c r="BA26" s="83">
        <v>14</v>
      </c>
      <c r="BB26" s="83">
        <v>14</v>
      </c>
      <c r="BC26" s="56" t="s">
        <v>65</v>
      </c>
      <c r="BD26" s="83">
        <v>26</v>
      </c>
      <c r="BE26" s="83">
        <v>26</v>
      </c>
      <c r="BF26" s="56" t="s">
        <v>65</v>
      </c>
      <c r="BG26" s="83">
        <v>33</v>
      </c>
      <c r="BH26" s="83">
        <v>33</v>
      </c>
      <c r="BI26" s="56" t="s">
        <v>65</v>
      </c>
      <c r="BJ26" s="83">
        <v>40</v>
      </c>
      <c r="BK26" s="84"/>
      <c r="BL26" s="123">
        <v>0.45</v>
      </c>
      <c r="BM26" s="124">
        <v>2.1999999999999999E-2</v>
      </c>
      <c r="BN26" s="124">
        <v>2.2999999999999998</v>
      </c>
      <c r="BO26" s="124">
        <v>1.4E-2</v>
      </c>
      <c r="BP26" s="124">
        <v>0.55000000000000004</v>
      </c>
      <c r="BQ26" s="125">
        <v>2.8000000000000001E-2</v>
      </c>
      <c r="BR26" s="126"/>
      <c r="BS26" s="127">
        <v>4</v>
      </c>
      <c r="BT26" s="128">
        <v>10</v>
      </c>
      <c r="BU26" s="129">
        <v>1</v>
      </c>
      <c r="BV26" s="130">
        <v>8.0000000000000002E-3</v>
      </c>
      <c r="BW26" s="127">
        <v>1.375</v>
      </c>
      <c r="BX26" s="127" t="s">
        <v>83</v>
      </c>
      <c r="BY26" s="127">
        <v>0.1</v>
      </c>
      <c r="BZ26" s="131">
        <v>3.5000000000000001E-3</v>
      </c>
      <c r="CA26" s="127"/>
      <c r="CB26" s="127">
        <v>6</v>
      </c>
      <c r="CC26" s="128">
        <v>1.8</v>
      </c>
      <c r="CD26" s="128">
        <v>2</v>
      </c>
      <c r="CE26" s="129">
        <v>1</v>
      </c>
      <c r="CF26" s="134">
        <v>1.85</v>
      </c>
      <c r="CG26" s="126">
        <v>2</v>
      </c>
      <c r="CH26" s="126">
        <v>5</v>
      </c>
      <c r="CI26" s="132">
        <v>1.3100000000000001E-2</v>
      </c>
    </row>
    <row r="27" spans="1:87" ht="15.6" x14ac:dyDescent="0.3">
      <c r="A27" s="115" t="s">
        <v>100</v>
      </c>
      <c r="B27" s="135"/>
      <c r="C27" s="135" t="s">
        <v>68</v>
      </c>
      <c r="D27" s="136" t="s">
        <v>69</v>
      </c>
      <c r="E27" s="137">
        <v>45</v>
      </c>
      <c r="F27" s="137">
        <v>3</v>
      </c>
      <c r="G27" s="137" t="s">
        <v>70</v>
      </c>
      <c r="H27" s="136"/>
      <c r="I27" s="137">
        <v>13.5</v>
      </c>
      <c r="J27" s="138" t="s">
        <v>71</v>
      </c>
      <c r="K27" s="137" t="s">
        <v>72</v>
      </c>
      <c r="L27" s="137" t="s">
        <v>73</v>
      </c>
      <c r="M27" s="139"/>
      <c r="N27" s="140">
        <v>0.23</v>
      </c>
      <c r="O27" s="136">
        <v>5</v>
      </c>
      <c r="P27" s="136">
        <v>2.75</v>
      </c>
      <c r="Q27" s="139">
        <v>3.75</v>
      </c>
      <c r="R27" s="139">
        <v>13</v>
      </c>
      <c r="S27" s="141" t="s">
        <v>87</v>
      </c>
      <c r="T27" s="139">
        <v>0.2</v>
      </c>
      <c r="U27" s="139">
        <v>1.2E-2</v>
      </c>
      <c r="V27" s="139">
        <v>2</v>
      </c>
      <c r="W27" s="139">
        <v>0.2</v>
      </c>
      <c r="X27" s="139">
        <v>1.2E-2</v>
      </c>
      <c r="Y27" s="139">
        <v>0.15</v>
      </c>
      <c r="Z27" s="123">
        <v>0.45</v>
      </c>
      <c r="AA27" s="124">
        <v>2.1999999999999999E-2</v>
      </c>
      <c r="AB27" s="124">
        <v>2.6</v>
      </c>
      <c r="AC27" s="124">
        <v>1.6E-2</v>
      </c>
      <c r="AD27" s="124">
        <v>0.55000000000000004</v>
      </c>
      <c r="AE27" s="124">
        <v>2.8000000000000001E-2</v>
      </c>
      <c r="AF27" s="125">
        <v>12</v>
      </c>
      <c r="AG27" s="124">
        <v>0.375</v>
      </c>
      <c r="AH27" s="124">
        <v>0.02</v>
      </c>
      <c r="AI27" s="124">
        <v>2.605</v>
      </c>
      <c r="AJ27" s="124">
        <v>1.6E-2</v>
      </c>
      <c r="AK27" s="124">
        <v>0.45</v>
      </c>
      <c r="AL27" s="124">
        <v>2.5000000000000001E-2</v>
      </c>
      <c r="AM27" s="124">
        <v>21</v>
      </c>
      <c r="AN27" s="124">
        <v>0.32500000000000001</v>
      </c>
      <c r="AO27" s="124">
        <v>1.6E-2</v>
      </c>
      <c r="AP27" s="124">
        <v>2.6139999999999999</v>
      </c>
      <c r="AQ27" s="124">
        <v>1.7999999999999999E-2</v>
      </c>
      <c r="AR27" s="124">
        <v>0.4</v>
      </c>
      <c r="AS27" s="124">
        <v>0.02</v>
      </c>
      <c r="AT27" s="124">
        <v>12</v>
      </c>
      <c r="AU27" s="124"/>
      <c r="AV27" s="83">
        <v>0</v>
      </c>
      <c r="AW27" s="56" t="s">
        <v>65</v>
      </c>
      <c r="AX27" s="83">
        <v>6</v>
      </c>
      <c r="AY27" s="83">
        <v>6</v>
      </c>
      <c r="AZ27" s="56" t="s">
        <v>65</v>
      </c>
      <c r="BA27" s="83">
        <v>16.5</v>
      </c>
      <c r="BB27" s="83">
        <v>16.5</v>
      </c>
      <c r="BC27" s="56" t="s">
        <v>65</v>
      </c>
      <c r="BD27" s="83">
        <v>28.5</v>
      </c>
      <c r="BE27" s="83">
        <v>28.5</v>
      </c>
      <c r="BF27" s="56" t="s">
        <v>65</v>
      </c>
      <c r="BG27" s="83">
        <v>39</v>
      </c>
      <c r="BH27" s="83">
        <v>39</v>
      </c>
      <c r="BI27" s="56" t="s">
        <v>65</v>
      </c>
      <c r="BJ27" s="83">
        <v>45</v>
      </c>
      <c r="BK27" s="142"/>
      <c r="BL27" s="123">
        <v>0.45</v>
      </c>
      <c r="BM27" s="124">
        <v>2.1999999999999999E-2</v>
      </c>
      <c r="BN27" s="124">
        <v>2.6</v>
      </c>
      <c r="BO27" s="124">
        <v>1.6E-2</v>
      </c>
      <c r="BP27" s="124">
        <v>0.55000000000000004</v>
      </c>
      <c r="BQ27" s="125">
        <v>2.8000000000000001E-2</v>
      </c>
      <c r="BR27" s="143"/>
      <c r="BS27" s="144">
        <v>5</v>
      </c>
      <c r="BT27" s="115">
        <v>10</v>
      </c>
      <c r="BU27" s="145">
        <v>1</v>
      </c>
      <c r="BV27" s="146">
        <v>8.0000000000000002E-3</v>
      </c>
      <c r="BW27" s="144">
        <v>1.25</v>
      </c>
      <c r="BX27" s="144" t="s">
        <v>83</v>
      </c>
      <c r="BY27" s="144">
        <v>0.1</v>
      </c>
      <c r="BZ27" s="147">
        <v>3.8999999999999998E-3</v>
      </c>
      <c r="CA27" s="144"/>
      <c r="CB27" s="144">
        <v>6</v>
      </c>
      <c r="CC27" s="115">
        <v>1.85</v>
      </c>
      <c r="CD27" s="115">
        <v>2.1</v>
      </c>
      <c r="CE27" s="145">
        <v>1.05</v>
      </c>
      <c r="CF27" s="148">
        <v>1.9</v>
      </c>
      <c r="CG27" s="143">
        <v>2</v>
      </c>
      <c r="CH27" s="143">
        <v>5</v>
      </c>
      <c r="CI27" s="149">
        <v>1.3100000000000001E-2</v>
      </c>
    </row>
    <row r="28" spans="1:87" ht="15" x14ac:dyDescent="0.25">
      <c r="A28" s="94" t="s">
        <v>101</v>
      </c>
      <c r="B28" s="95"/>
      <c r="C28" s="95" t="s">
        <v>68</v>
      </c>
      <c r="D28" s="96" t="s">
        <v>69</v>
      </c>
      <c r="E28" s="97">
        <v>20</v>
      </c>
      <c r="F28" s="97">
        <v>3</v>
      </c>
      <c r="G28" s="97" t="s">
        <v>89</v>
      </c>
      <c r="H28" s="96"/>
      <c r="I28" s="97">
        <v>11.5</v>
      </c>
      <c r="J28" s="99" t="s">
        <v>71</v>
      </c>
      <c r="K28" s="97" t="s">
        <v>72</v>
      </c>
      <c r="L28" s="97" t="s">
        <v>73</v>
      </c>
      <c r="M28" s="100"/>
      <c r="N28" s="101">
        <v>0.23</v>
      </c>
      <c r="O28" s="96">
        <v>4</v>
      </c>
      <c r="P28" s="96">
        <v>2.875</v>
      </c>
      <c r="Q28" s="100">
        <v>4</v>
      </c>
      <c r="R28" s="100">
        <v>6</v>
      </c>
      <c r="S28" s="103" t="s">
        <v>74</v>
      </c>
      <c r="T28" s="100">
        <v>0.2</v>
      </c>
      <c r="U28" s="100">
        <v>8.0000000000000002E-3</v>
      </c>
      <c r="V28" s="100">
        <v>1.5</v>
      </c>
      <c r="W28" s="100">
        <v>0.2</v>
      </c>
      <c r="X28" s="100">
        <v>8.0000000000000002E-3</v>
      </c>
      <c r="Y28" s="100">
        <v>0.15</v>
      </c>
      <c r="Z28" s="104">
        <v>0.45</v>
      </c>
      <c r="AA28" s="54">
        <v>0.02</v>
      </c>
      <c r="AB28" s="54">
        <v>1.0049999999999999</v>
      </c>
      <c r="AC28" s="54">
        <v>8.0000000000000002E-3</v>
      </c>
      <c r="AD28" s="54">
        <v>0.55000000000000004</v>
      </c>
      <c r="AE28" s="54">
        <v>2.5000000000000001E-2</v>
      </c>
      <c r="AF28" s="105">
        <v>8</v>
      </c>
      <c r="AG28" s="54">
        <v>0</v>
      </c>
      <c r="AH28" s="54">
        <v>0</v>
      </c>
      <c r="AI28" s="54">
        <v>0</v>
      </c>
      <c r="AJ28" s="54">
        <v>0</v>
      </c>
      <c r="AK28" s="54">
        <v>0</v>
      </c>
      <c r="AL28" s="54">
        <v>0</v>
      </c>
      <c r="AM28" s="54">
        <v>0</v>
      </c>
      <c r="AN28" s="54">
        <v>0.375</v>
      </c>
      <c r="AO28" s="54">
        <v>1.7999999999999999E-2</v>
      </c>
      <c r="AP28" s="54">
        <v>1.012</v>
      </c>
      <c r="AQ28" s="54">
        <v>0.01</v>
      </c>
      <c r="AR28" s="54">
        <v>0.45</v>
      </c>
      <c r="AS28" s="54">
        <v>0.02</v>
      </c>
      <c r="AT28" s="54">
        <v>12</v>
      </c>
      <c r="AU28" s="54"/>
      <c r="AV28" s="83">
        <v>0</v>
      </c>
      <c r="AW28" s="56" t="s">
        <v>65</v>
      </c>
      <c r="AX28" s="83">
        <v>6</v>
      </c>
      <c r="AY28" s="83">
        <v>6</v>
      </c>
      <c r="AZ28" s="56" t="s">
        <v>65</v>
      </c>
      <c r="BA28" s="83">
        <v>6</v>
      </c>
      <c r="BB28" s="83">
        <v>6</v>
      </c>
      <c r="BC28" s="56" t="s">
        <v>65</v>
      </c>
      <c r="BD28" s="83">
        <v>14</v>
      </c>
      <c r="BE28" s="83">
        <v>14</v>
      </c>
      <c r="BF28" s="56" t="s">
        <v>65</v>
      </c>
      <c r="BG28" s="83">
        <v>14</v>
      </c>
      <c r="BH28" s="83">
        <v>14</v>
      </c>
      <c r="BI28" s="56" t="s">
        <v>65</v>
      </c>
      <c r="BJ28" s="83">
        <v>20</v>
      </c>
      <c r="BK28" s="84"/>
      <c r="BL28" s="104">
        <v>0.45</v>
      </c>
      <c r="BM28" s="54">
        <v>0.02</v>
      </c>
      <c r="BN28" s="54">
        <v>1.0049999999999999</v>
      </c>
      <c r="BO28" s="54">
        <v>8.0000000000000002E-3</v>
      </c>
      <c r="BP28" s="54">
        <v>0.55000000000000004</v>
      </c>
      <c r="BQ28" s="105">
        <v>2.5000000000000001E-2</v>
      </c>
      <c r="BR28" s="84"/>
      <c r="BS28" s="107">
        <v>4</v>
      </c>
      <c r="BT28" s="108">
        <v>10</v>
      </c>
      <c r="BU28" s="109">
        <v>0.9</v>
      </c>
      <c r="BV28" s="110">
        <v>8.0000000000000002E-3</v>
      </c>
      <c r="BW28" s="107">
        <v>1.075</v>
      </c>
      <c r="BX28" s="107" t="s">
        <v>75</v>
      </c>
      <c r="BY28" s="111">
        <v>0.1</v>
      </c>
      <c r="BZ28" s="112">
        <v>4.4999999999999997E-3</v>
      </c>
      <c r="CA28" s="107"/>
      <c r="CB28" s="107">
        <v>6</v>
      </c>
      <c r="CC28" s="108">
        <v>1.4</v>
      </c>
      <c r="CD28" s="108">
        <v>1.6</v>
      </c>
      <c r="CE28" s="109">
        <v>0.8</v>
      </c>
      <c r="CF28" s="109">
        <v>1.45</v>
      </c>
      <c r="CG28" s="113">
        <v>2</v>
      </c>
      <c r="CH28" s="113">
        <v>3.81</v>
      </c>
      <c r="CI28" s="114">
        <v>0.01</v>
      </c>
    </row>
    <row r="29" spans="1:87" ht="15" x14ac:dyDescent="0.25">
      <c r="A29" s="94" t="s">
        <v>102</v>
      </c>
      <c r="B29" s="95"/>
      <c r="C29" s="95" t="s">
        <v>68</v>
      </c>
      <c r="D29" s="96" t="s">
        <v>69</v>
      </c>
      <c r="E29" s="97">
        <v>25</v>
      </c>
      <c r="F29" s="97">
        <v>3</v>
      </c>
      <c r="G29" s="97" t="s">
        <v>89</v>
      </c>
      <c r="H29" s="96"/>
      <c r="I29" s="97">
        <v>11.5</v>
      </c>
      <c r="J29" s="99" t="s">
        <v>71</v>
      </c>
      <c r="K29" s="97" t="s">
        <v>72</v>
      </c>
      <c r="L29" s="97" t="s">
        <v>73</v>
      </c>
      <c r="M29" s="100"/>
      <c r="N29" s="101">
        <v>0.23</v>
      </c>
      <c r="O29" s="96">
        <v>4</v>
      </c>
      <c r="P29" s="96">
        <v>2.875</v>
      </c>
      <c r="Q29" s="100">
        <v>3.5710000000000002</v>
      </c>
      <c r="R29" s="100">
        <v>8</v>
      </c>
      <c r="S29" s="103" t="s">
        <v>77</v>
      </c>
      <c r="T29" s="100">
        <v>0.2</v>
      </c>
      <c r="U29" s="100">
        <v>8.0000000000000002E-3</v>
      </c>
      <c r="V29" s="100">
        <v>1.5</v>
      </c>
      <c r="W29" s="100">
        <v>0.2</v>
      </c>
      <c r="X29" s="100">
        <v>8.0000000000000002E-3</v>
      </c>
      <c r="Y29" s="100">
        <v>0.15</v>
      </c>
      <c r="Z29" s="104">
        <v>0.45</v>
      </c>
      <c r="AA29" s="54">
        <v>0.02</v>
      </c>
      <c r="AB29" s="54">
        <v>1.33</v>
      </c>
      <c r="AC29" s="54">
        <v>8.0000000000000002E-3</v>
      </c>
      <c r="AD29" s="54">
        <v>0.55000000000000004</v>
      </c>
      <c r="AE29" s="54">
        <v>2.5000000000000001E-2</v>
      </c>
      <c r="AF29" s="105">
        <v>9</v>
      </c>
      <c r="AG29" s="54">
        <v>0</v>
      </c>
      <c r="AH29" s="54">
        <v>0</v>
      </c>
      <c r="AI29" s="54">
        <v>0</v>
      </c>
      <c r="AJ29" s="54">
        <v>0</v>
      </c>
      <c r="AK29" s="54">
        <v>0</v>
      </c>
      <c r="AL29" s="54">
        <v>0</v>
      </c>
      <c r="AM29" s="54">
        <v>0</v>
      </c>
      <c r="AN29" s="54">
        <v>0.375</v>
      </c>
      <c r="AO29" s="54">
        <v>1.7999999999999999E-2</v>
      </c>
      <c r="AP29" s="54">
        <v>1.337</v>
      </c>
      <c r="AQ29" s="54">
        <v>1.2E-2</v>
      </c>
      <c r="AR29" s="54">
        <v>0.45</v>
      </c>
      <c r="AS29" s="54">
        <v>0.02</v>
      </c>
      <c r="AT29" s="54">
        <v>16</v>
      </c>
      <c r="AU29" s="54"/>
      <c r="AV29" s="83">
        <v>0</v>
      </c>
      <c r="AW29" s="56" t="s">
        <v>65</v>
      </c>
      <c r="AX29" s="83">
        <v>8</v>
      </c>
      <c r="AY29" s="83">
        <v>8</v>
      </c>
      <c r="AZ29" s="56" t="s">
        <v>65</v>
      </c>
      <c r="BA29" s="83">
        <v>8</v>
      </c>
      <c r="BB29" s="83">
        <v>8</v>
      </c>
      <c r="BC29" s="56" t="s">
        <v>65</v>
      </c>
      <c r="BD29" s="83">
        <v>17</v>
      </c>
      <c r="BE29" s="83">
        <v>17</v>
      </c>
      <c r="BF29" s="56" t="s">
        <v>65</v>
      </c>
      <c r="BG29" s="83">
        <v>17</v>
      </c>
      <c r="BH29" s="83">
        <v>17</v>
      </c>
      <c r="BI29" s="56" t="s">
        <v>65</v>
      </c>
      <c r="BJ29" s="83">
        <v>25</v>
      </c>
      <c r="BK29" s="84"/>
      <c r="BL29" s="104">
        <v>0.45</v>
      </c>
      <c r="BM29" s="54">
        <v>0.02</v>
      </c>
      <c r="BN29" s="54">
        <v>1.33</v>
      </c>
      <c r="BO29" s="54">
        <v>8.0000000000000002E-3</v>
      </c>
      <c r="BP29" s="54">
        <v>0.55000000000000004</v>
      </c>
      <c r="BQ29" s="105">
        <v>2.5000000000000001E-2</v>
      </c>
      <c r="BR29" s="84"/>
      <c r="BS29" s="107">
        <v>4</v>
      </c>
      <c r="BT29" s="108">
        <v>10</v>
      </c>
      <c r="BU29" s="109">
        <v>0.9</v>
      </c>
      <c r="BV29" s="110">
        <v>8.0000000000000002E-3</v>
      </c>
      <c r="BW29" s="107">
        <v>1.175</v>
      </c>
      <c r="BX29" s="107" t="s">
        <v>78</v>
      </c>
      <c r="BY29" s="111">
        <v>0.1</v>
      </c>
      <c r="BZ29" s="112">
        <v>4.1000000000000003E-3</v>
      </c>
      <c r="CA29" s="107"/>
      <c r="CB29" s="107">
        <v>6</v>
      </c>
      <c r="CC29" s="108">
        <v>1.45</v>
      </c>
      <c r="CD29" s="108">
        <v>1.7</v>
      </c>
      <c r="CE29" s="109">
        <v>0.85</v>
      </c>
      <c r="CF29" s="109">
        <v>1.5</v>
      </c>
      <c r="CG29" s="113">
        <v>2</v>
      </c>
      <c r="CH29" s="113">
        <v>3.81</v>
      </c>
      <c r="CI29" s="114">
        <v>6.7999999999999996E-3</v>
      </c>
    </row>
    <row r="30" spans="1:87" ht="15" x14ac:dyDescent="0.25">
      <c r="A30" s="94" t="s">
        <v>103</v>
      </c>
      <c r="B30" s="95"/>
      <c r="C30" s="95" t="s">
        <v>68</v>
      </c>
      <c r="D30" s="96" t="s">
        <v>69</v>
      </c>
      <c r="E30" s="97">
        <v>30</v>
      </c>
      <c r="F30" s="97">
        <v>3</v>
      </c>
      <c r="G30" s="97" t="s">
        <v>89</v>
      </c>
      <c r="H30" s="96"/>
      <c r="I30" s="97">
        <v>11.5</v>
      </c>
      <c r="J30" s="99" t="s">
        <v>71</v>
      </c>
      <c r="K30" s="97" t="s">
        <v>72</v>
      </c>
      <c r="L30" s="97" t="s">
        <v>73</v>
      </c>
      <c r="M30" s="100"/>
      <c r="N30" s="101">
        <v>0.23</v>
      </c>
      <c r="O30" s="96">
        <v>4</v>
      </c>
      <c r="P30" s="96">
        <v>2.875</v>
      </c>
      <c r="Q30" s="100">
        <v>3.75</v>
      </c>
      <c r="R30" s="100">
        <v>9</v>
      </c>
      <c r="S30" s="103" t="s">
        <v>80</v>
      </c>
      <c r="T30" s="100">
        <v>0.2</v>
      </c>
      <c r="U30" s="100">
        <v>8.0000000000000002E-3</v>
      </c>
      <c r="V30" s="100">
        <v>1.5</v>
      </c>
      <c r="W30" s="100">
        <v>0.2</v>
      </c>
      <c r="X30" s="100">
        <v>8.0000000000000002E-3</v>
      </c>
      <c r="Y30" s="100">
        <v>0.15</v>
      </c>
      <c r="Z30" s="104">
        <v>0.47499999999999998</v>
      </c>
      <c r="AA30" s="54">
        <v>0.02</v>
      </c>
      <c r="AB30" s="93">
        <v>1.7050000000000001</v>
      </c>
      <c r="AC30" s="54">
        <v>0.01</v>
      </c>
      <c r="AD30" s="54">
        <v>0.57499999999999996</v>
      </c>
      <c r="AE30" s="54">
        <v>2.5000000000000001E-2</v>
      </c>
      <c r="AF30" s="105">
        <v>12</v>
      </c>
      <c r="AG30" s="54">
        <v>0</v>
      </c>
      <c r="AH30" s="54">
        <v>0</v>
      </c>
      <c r="AI30" s="54">
        <v>0</v>
      </c>
      <c r="AJ30" s="54">
        <v>0</v>
      </c>
      <c r="AK30" s="54">
        <v>0</v>
      </c>
      <c r="AL30" s="54">
        <v>0</v>
      </c>
      <c r="AM30" s="54">
        <v>0</v>
      </c>
      <c r="AN30" s="54">
        <v>0.375</v>
      </c>
      <c r="AO30" s="54">
        <v>1.7999999999999999E-2</v>
      </c>
      <c r="AP30" s="54">
        <v>1.712</v>
      </c>
      <c r="AQ30" s="54">
        <v>1.4E-2</v>
      </c>
      <c r="AR30" s="54">
        <v>0.45</v>
      </c>
      <c r="AS30" s="54">
        <v>0.02</v>
      </c>
      <c r="AT30" s="54">
        <v>18</v>
      </c>
      <c r="AU30" s="54"/>
      <c r="AV30" s="83">
        <v>0</v>
      </c>
      <c r="AW30" s="56" t="s">
        <v>65</v>
      </c>
      <c r="AX30" s="83">
        <v>9</v>
      </c>
      <c r="AY30" s="83">
        <v>9</v>
      </c>
      <c r="AZ30" s="56" t="s">
        <v>65</v>
      </c>
      <c r="BA30" s="83">
        <v>9</v>
      </c>
      <c r="BB30" s="83">
        <v>9</v>
      </c>
      <c r="BC30" s="56" t="s">
        <v>65</v>
      </c>
      <c r="BD30" s="83">
        <v>21</v>
      </c>
      <c r="BE30" s="83">
        <v>21</v>
      </c>
      <c r="BF30" s="56" t="s">
        <v>65</v>
      </c>
      <c r="BG30" s="83">
        <v>21</v>
      </c>
      <c r="BH30" s="83">
        <v>21</v>
      </c>
      <c r="BI30" s="56" t="s">
        <v>65</v>
      </c>
      <c r="BJ30" s="83">
        <v>30</v>
      </c>
      <c r="BK30" s="84"/>
      <c r="BL30" s="104">
        <v>0.47499999999999998</v>
      </c>
      <c r="BM30" s="54">
        <v>0.02</v>
      </c>
      <c r="BN30" s="93">
        <v>1.7050000000000001</v>
      </c>
      <c r="BO30" s="54">
        <v>0.01</v>
      </c>
      <c r="BP30" s="54">
        <v>0.57499999999999996</v>
      </c>
      <c r="BQ30" s="105">
        <v>2.5000000000000001E-2</v>
      </c>
      <c r="BR30" s="84"/>
      <c r="BS30" s="107">
        <v>4</v>
      </c>
      <c r="BT30" s="108">
        <v>10</v>
      </c>
      <c r="BU30" s="109">
        <v>1</v>
      </c>
      <c r="BV30" s="110">
        <v>8.0000000000000002E-3</v>
      </c>
      <c r="BW30" s="107">
        <v>1.4</v>
      </c>
      <c r="BX30" s="107" t="s">
        <v>81</v>
      </c>
      <c r="BY30" s="111">
        <v>0.1</v>
      </c>
      <c r="BZ30" s="112">
        <v>3.3999999999999998E-3</v>
      </c>
      <c r="CA30" s="107"/>
      <c r="CB30" s="107">
        <v>6</v>
      </c>
      <c r="CC30" s="108">
        <v>1.5</v>
      </c>
      <c r="CD30" s="108">
        <v>1.8</v>
      </c>
      <c r="CE30" s="109">
        <v>0.9</v>
      </c>
      <c r="CF30" s="109">
        <v>1.55</v>
      </c>
      <c r="CG30" s="113">
        <v>2</v>
      </c>
      <c r="CH30" s="113">
        <v>3.81</v>
      </c>
      <c r="CI30" s="114">
        <v>9.4999999999999998E-3</v>
      </c>
    </row>
    <row r="31" spans="1:87" ht="15" x14ac:dyDescent="0.25">
      <c r="A31" s="94" t="s">
        <v>104</v>
      </c>
      <c r="B31" s="95"/>
      <c r="C31" s="95" t="s">
        <v>68</v>
      </c>
      <c r="D31" s="96" t="s">
        <v>69</v>
      </c>
      <c r="E31" s="97">
        <v>35</v>
      </c>
      <c r="F31" s="97">
        <v>3</v>
      </c>
      <c r="G31" s="97" t="s">
        <v>89</v>
      </c>
      <c r="H31" s="96"/>
      <c r="I31" s="97">
        <v>11.5</v>
      </c>
      <c r="J31" s="99" t="s">
        <v>71</v>
      </c>
      <c r="K31" s="97" t="s">
        <v>72</v>
      </c>
      <c r="L31" s="97" t="s">
        <v>73</v>
      </c>
      <c r="M31" s="100"/>
      <c r="N31" s="101">
        <v>0.23</v>
      </c>
      <c r="O31" s="96">
        <v>4</v>
      </c>
      <c r="P31" s="96">
        <v>2.875</v>
      </c>
      <c r="Q31" s="100">
        <v>3.5</v>
      </c>
      <c r="R31" s="100">
        <v>11</v>
      </c>
      <c r="S31" s="103" t="s">
        <v>80</v>
      </c>
      <c r="T31" s="100">
        <v>0.2</v>
      </c>
      <c r="U31" s="100">
        <v>8.0000000000000002E-3</v>
      </c>
      <c r="V31" s="100">
        <v>2</v>
      </c>
      <c r="W31" s="100">
        <v>0.2</v>
      </c>
      <c r="X31" s="100">
        <v>8.0000000000000002E-3</v>
      </c>
      <c r="Y31" s="100">
        <v>0.15</v>
      </c>
      <c r="Z31" s="104">
        <v>0.47499999999999998</v>
      </c>
      <c r="AA31" s="54">
        <v>2.1999999999999999E-2</v>
      </c>
      <c r="AB31" s="54">
        <v>2</v>
      </c>
      <c r="AC31" s="54">
        <v>1.2E-2</v>
      </c>
      <c r="AD31" s="54">
        <v>0.55000000000000004</v>
      </c>
      <c r="AE31" s="54">
        <v>2.8000000000000001E-2</v>
      </c>
      <c r="AF31" s="105">
        <v>11</v>
      </c>
      <c r="AG31" s="54">
        <v>0.4</v>
      </c>
      <c r="AH31" s="54">
        <v>2.1999999999999999E-2</v>
      </c>
      <c r="AI31" s="93">
        <v>2</v>
      </c>
      <c r="AJ31" s="54">
        <v>1.2E-2</v>
      </c>
      <c r="AK31" s="54">
        <v>0.47499999999999998</v>
      </c>
      <c r="AL31" s="54">
        <v>2.8000000000000001E-2</v>
      </c>
      <c r="AM31" s="54">
        <v>12</v>
      </c>
      <c r="AN31" s="54">
        <v>0.35</v>
      </c>
      <c r="AO31" s="54">
        <v>1.7999999999999999E-2</v>
      </c>
      <c r="AP31" s="54">
        <v>2.012</v>
      </c>
      <c r="AQ31" s="54">
        <v>1.4E-2</v>
      </c>
      <c r="AR31" s="54">
        <v>0.4</v>
      </c>
      <c r="AS31" s="54">
        <v>0.02</v>
      </c>
      <c r="AT31" s="54">
        <v>12</v>
      </c>
      <c r="AU31" s="54"/>
      <c r="AV31" s="83">
        <v>0</v>
      </c>
      <c r="AW31" s="56" t="s">
        <v>65</v>
      </c>
      <c r="AX31" s="83">
        <v>6</v>
      </c>
      <c r="AY31" s="83">
        <v>6</v>
      </c>
      <c r="AZ31" s="56" t="s">
        <v>65</v>
      </c>
      <c r="BA31" s="83">
        <v>12</v>
      </c>
      <c r="BB31" s="83">
        <v>12</v>
      </c>
      <c r="BC31" s="56" t="s">
        <v>65</v>
      </c>
      <c r="BD31" s="83">
        <v>23</v>
      </c>
      <c r="BE31" s="83">
        <v>23</v>
      </c>
      <c r="BF31" s="56" t="s">
        <v>65</v>
      </c>
      <c r="BG31" s="83">
        <v>29</v>
      </c>
      <c r="BH31" s="83">
        <v>29</v>
      </c>
      <c r="BI31" s="56" t="s">
        <v>65</v>
      </c>
      <c r="BJ31" s="83">
        <v>35</v>
      </c>
      <c r="BK31" s="84"/>
      <c r="BL31" s="104">
        <v>0.47499999999999998</v>
      </c>
      <c r="BM31" s="54">
        <v>2.1999999999999999E-2</v>
      </c>
      <c r="BN31" s="54">
        <v>2</v>
      </c>
      <c r="BO31" s="54">
        <v>1.2E-2</v>
      </c>
      <c r="BP31" s="54">
        <v>0.55000000000000004</v>
      </c>
      <c r="BQ31" s="105">
        <v>2.8000000000000001E-2</v>
      </c>
      <c r="BR31" s="84"/>
      <c r="BS31" s="107">
        <v>4</v>
      </c>
      <c r="BT31" s="108">
        <v>10</v>
      </c>
      <c r="BU31" s="109">
        <v>1</v>
      </c>
      <c r="BV31" s="110">
        <v>8.0000000000000002E-3</v>
      </c>
      <c r="BW31" s="107">
        <v>1.25</v>
      </c>
      <c r="BX31" s="107" t="s">
        <v>83</v>
      </c>
      <c r="BY31" s="111">
        <v>0.1</v>
      </c>
      <c r="BZ31" s="112">
        <v>3.8999999999999998E-3</v>
      </c>
      <c r="CA31" s="107"/>
      <c r="CB31" s="107">
        <v>6</v>
      </c>
      <c r="CC31" s="108">
        <v>1.55</v>
      </c>
      <c r="CD31" s="108">
        <v>1.9</v>
      </c>
      <c r="CE31" s="109">
        <v>0.95</v>
      </c>
      <c r="CF31" s="109">
        <v>1.6</v>
      </c>
      <c r="CG31" s="113">
        <v>2</v>
      </c>
      <c r="CH31" s="113">
        <v>3.81</v>
      </c>
      <c r="CI31" s="114">
        <v>9.1000000000000004E-3</v>
      </c>
    </row>
    <row r="32" spans="1:87" ht="15" x14ac:dyDescent="0.25">
      <c r="A32" s="94" t="s">
        <v>105</v>
      </c>
      <c r="B32" s="95"/>
      <c r="C32" s="95" t="s">
        <v>68</v>
      </c>
      <c r="D32" s="96" t="s">
        <v>69</v>
      </c>
      <c r="E32" s="97">
        <v>40</v>
      </c>
      <c r="F32" s="97">
        <v>3</v>
      </c>
      <c r="G32" s="97" t="s">
        <v>89</v>
      </c>
      <c r="H32" s="96"/>
      <c r="I32" s="97">
        <v>11.5</v>
      </c>
      <c r="J32" s="99" t="s">
        <v>71</v>
      </c>
      <c r="K32" s="97" t="s">
        <v>72</v>
      </c>
      <c r="L32" s="97" t="s">
        <v>73</v>
      </c>
      <c r="M32" s="100"/>
      <c r="N32" s="101">
        <v>0.23</v>
      </c>
      <c r="O32" s="96">
        <v>4</v>
      </c>
      <c r="P32" s="96">
        <v>2.875</v>
      </c>
      <c r="Q32" s="100">
        <v>4</v>
      </c>
      <c r="R32" s="100">
        <v>11</v>
      </c>
      <c r="S32" s="103" t="s">
        <v>85</v>
      </c>
      <c r="T32" s="100">
        <v>0.2</v>
      </c>
      <c r="U32" s="100">
        <v>8.0000000000000002E-3</v>
      </c>
      <c r="V32" s="100">
        <v>2</v>
      </c>
      <c r="W32" s="100">
        <v>0.2</v>
      </c>
      <c r="X32" s="100">
        <v>8.0000000000000002E-3</v>
      </c>
      <c r="Y32" s="100">
        <v>0.15</v>
      </c>
      <c r="Z32" s="104">
        <v>0.47499999999999998</v>
      </c>
      <c r="AA32" s="54">
        <v>2.5000000000000001E-2</v>
      </c>
      <c r="AB32" s="54">
        <v>2.2930000000000001</v>
      </c>
      <c r="AC32" s="54">
        <v>1.4E-2</v>
      </c>
      <c r="AD32" s="54">
        <v>0.55000000000000004</v>
      </c>
      <c r="AE32" s="54">
        <v>3.2000000000000001E-2</v>
      </c>
      <c r="AF32" s="105">
        <v>12</v>
      </c>
      <c r="AG32" s="54">
        <v>0.42499999999999999</v>
      </c>
      <c r="AH32" s="54">
        <v>2.1999999999999999E-2</v>
      </c>
      <c r="AI32" s="93">
        <v>2.2999999999999998</v>
      </c>
      <c r="AJ32" s="54">
        <v>1.6E-2</v>
      </c>
      <c r="AK32" s="54">
        <v>0.5</v>
      </c>
      <c r="AL32" s="54">
        <v>2.8000000000000001E-2</v>
      </c>
      <c r="AM32" s="54">
        <v>14</v>
      </c>
      <c r="AN32" s="54">
        <v>0.35</v>
      </c>
      <c r="AO32" s="54">
        <v>1.6E-2</v>
      </c>
      <c r="AP32" s="54">
        <v>2.3140000000000001</v>
      </c>
      <c r="AQ32" s="54">
        <v>1.6E-2</v>
      </c>
      <c r="AR32" s="54">
        <v>0.4</v>
      </c>
      <c r="AS32" s="54">
        <v>0.02</v>
      </c>
      <c r="AT32" s="54">
        <v>14</v>
      </c>
      <c r="AU32" s="54"/>
      <c r="AV32" s="83">
        <v>0</v>
      </c>
      <c r="AW32" s="56" t="s">
        <v>65</v>
      </c>
      <c r="AX32" s="83">
        <v>7</v>
      </c>
      <c r="AY32" s="83">
        <v>7</v>
      </c>
      <c r="AZ32" s="56" t="s">
        <v>65</v>
      </c>
      <c r="BA32" s="83">
        <v>14</v>
      </c>
      <c r="BB32" s="83">
        <v>14</v>
      </c>
      <c r="BC32" s="56" t="s">
        <v>65</v>
      </c>
      <c r="BD32" s="83">
        <v>26</v>
      </c>
      <c r="BE32" s="83">
        <v>26</v>
      </c>
      <c r="BF32" s="56" t="s">
        <v>65</v>
      </c>
      <c r="BG32" s="83">
        <v>33</v>
      </c>
      <c r="BH32" s="83">
        <v>33</v>
      </c>
      <c r="BI32" s="56" t="s">
        <v>65</v>
      </c>
      <c r="BJ32" s="83">
        <v>40</v>
      </c>
      <c r="BK32" s="84"/>
      <c r="BL32" s="104">
        <v>0.47499999999999998</v>
      </c>
      <c r="BM32" s="54">
        <v>2.5000000000000001E-2</v>
      </c>
      <c r="BN32" s="54">
        <v>2.2930000000000001</v>
      </c>
      <c r="BO32" s="54">
        <v>1.4E-2</v>
      </c>
      <c r="BP32" s="54">
        <v>0.55000000000000004</v>
      </c>
      <c r="BQ32" s="105">
        <v>3.2000000000000001E-2</v>
      </c>
      <c r="BR32" s="84"/>
      <c r="BS32" s="107">
        <v>4</v>
      </c>
      <c r="BT32" s="108">
        <v>10</v>
      </c>
      <c r="BU32" s="109">
        <v>1.2</v>
      </c>
      <c r="BV32" s="110">
        <v>8.0000000000000002E-3</v>
      </c>
      <c r="BW32" s="107">
        <v>1.35</v>
      </c>
      <c r="BX32" s="107" t="s">
        <v>83</v>
      </c>
      <c r="BY32" s="111">
        <v>0.1</v>
      </c>
      <c r="BZ32" s="112">
        <v>3.5999999999999999E-3</v>
      </c>
      <c r="CA32" s="107"/>
      <c r="CB32" s="107">
        <v>6</v>
      </c>
      <c r="CC32" s="108">
        <v>1.6</v>
      </c>
      <c r="CD32" s="108">
        <v>2</v>
      </c>
      <c r="CE32" s="109">
        <v>1</v>
      </c>
      <c r="CF32" s="109">
        <v>1.65</v>
      </c>
      <c r="CG32" s="113">
        <v>2</v>
      </c>
      <c r="CH32" s="113">
        <v>3.81</v>
      </c>
      <c r="CI32" s="114">
        <v>8.8000000000000005E-3</v>
      </c>
    </row>
    <row r="33" spans="1:87" ht="15" x14ac:dyDescent="0.25">
      <c r="A33" s="94" t="s">
        <v>106</v>
      </c>
      <c r="B33" s="95"/>
      <c r="C33" s="95" t="s">
        <v>68</v>
      </c>
      <c r="D33" s="96" t="s">
        <v>69</v>
      </c>
      <c r="E33" s="97">
        <v>45</v>
      </c>
      <c r="F33" s="97">
        <v>3</v>
      </c>
      <c r="G33" s="97" t="s">
        <v>89</v>
      </c>
      <c r="H33" s="96"/>
      <c r="I33" s="97">
        <v>11.5</v>
      </c>
      <c r="J33" s="99" t="s">
        <v>71</v>
      </c>
      <c r="K33" s="97" t="s">
        <v>72</v>
      </c>
      <c r="L33" s="97" t="s">
        <v>73</v>
      </c>
      <c r="M33" s="100"/>
      <c r="N33" s="101">
        <v>0.23</v>
      </c>
      <c r="O33" s="96">
        <v>4</v>
      </c>
      <c r="P33" s="96">
        <v>2.875</v>
      </c>
      <c r="Q33" s="100">
        <v>3.75</v>
      </c>
      <c r="R33" s="100">
        <v>13</v>
      </c>
      <c r="S33" s="103" t="s">
        <v>87</v>
      </c>
      <c r="T33" s="100">
        <v>0.2</v>
      </c>
      <c r="U33" s="100">
        <v>0.01</v>
      </c>
      <c r="V33" s="100">
        <v>2</v>
      </c>
      <c r="W33" s="100">
        <v>0.2</v>
      </c>
      <c r="X33" s="100">
        <v>0.01</v>
      </c>
      <c r="Y33" s="100">
        <v>0.15</v>
      </c>
      <c r="Z33" s="104">
        <v>0.5</v>
      </c>
      <c r="AA33" s="54">
        <v>2.5000000000000001E-2</v>
      </c>
      <c r="AB33" s="54">
        <v>2.593</v>
      </c>
      <c r="AC33" s="54">
        <v>1.6E-2</v>
      </c>
      <c r="AD33" s="54">
        <v>0.57499999999999996</v>
      </c>
      <c r="AE33" s="54">
        <v>3.2000000000000001E-2</v>
      </c>
      <c r="AF33" s="105">
        <v>12</v>
      </c>
      <c r="AG33" s="54">
        <v>0.42499999999999999</v>
      </c>
      <c r="AH33" s="54">
        <v>2.5000000000000001E-2</v>
      </c>
      <c r="AI33" s="54">
        <v>2.593</v>
      </c>
      <c r="AJ33" s="54">
        <v>1.6E-2</v>
      </c>
      <c r="AK33" s="54">
        <v>0.5</v>
      </c>
      <c r="AL33" s="54">
        <v>3.2000000000000001E-2</v>
      </c>
      <c r="AM33" s="54">
        <v>21</v>
      </c>
      <c r="AN33" s="54">
        <v>0.35</v>
      </c>
      <c r="AO33" s="54">
        <v>1.6E-2</v>
      </c>
      <c r="AP33" s="54">
        <v>2.6139999999999999</v>
      </c>
      <c r="AQ33" s="54">
        <v>1.7999999999999999E-2</v>
      </c>
      <c r="AR33" s="54">
        <v>0.4</v>
      </c>
      <c r="AS33" s="54">
        <v>0.02</v>
      </c>
      <c r="AT33" s="54">
        <v>12</v>
      </c>
      <c r="AU33" s="54"/>
      <c r="AV33" s="83">
        <v>0</v>
      </c>
      <c r="AW33" s="56" t="s">
        <v>65</v>
      </c>
      <c r="AX33" s="83">
        <v>6</v>
      </c>
      <c r="AY33" s="83">
        <v>6</v>
      </c>
      <c r="AZ33" s="56" t="s">
        <v>65</v>
      </c>
      <c r="BA33" s="83">
        <v>16.5</v>
      </c>
      <c r="BB33" s="83">
        <v>16.5</v>
      </c>
      <c r="BC33" s="56" t="s">
        <v>65</v>
      </c>
      <c r="BD33" s="83">
        <v>28.5</v>
      </c>
      <c r="BE33" s="83">
        <v>28.5</v>
      </c>
      <c r="BF33" s="56" t="s">
        <v>65</v>
      </c>
      <c r="BG33" s="83">
        <v>39</v>
      </c>
      <c r="BH33" s="83">
        <v>39</v>
      </c>
      <c r="BI33" s="56" t="s">
        <v>65</v>
      </c>
      <c r="BJ33" s="83">
        <v>45</v>
      </c>
      <c r="BK33" s="84"/>
      <c r="BL33" s="104">
        <v>0.5</v>
      </c>
      <c r="BM33" s="54">
        <v>2.5000000000000001E-2</v>
      </c>
      <c r="BN33" s="54">
        <v>2.593</v>
      </c>
      <c r="BO33" s="54">
        <v>1.6E-2</v>
      </c>
      <c r="BP33" s="54">
        <v>0.57499999999999996</v>
      </c>
      <c r="BQ33" s="105">
        <v>3.2000000000000001E-2</v>
      </c>
      <c r="BR33" s="84"/>
      <c r="BS33" s="107">
        <v>5</v>
      </c>
      <c r="BT33" s="108">
        <v>10</v>
      </c>
      <c r="BU33" s="109">
        <v>1.2</v>
      </c>
      <c r="BV33" s="110">
        <v>8.0000000000000002E-3</v>
      </c>
      <c r="BW33" s="107">
        <v>1.175</v>
      </c>
      <c r="BX33" s="107" t="s">
        <v>83</v>
      </c>
      <c r="BY33" s="111">
        <v>0.1</v>
      </c>
      <c r="BZ33" s="112">
        <v>4.1000000000000003E-3</v>
      </c>
      <c r="CA33" s="107"/>
      <c r="CB33" s="107">
        <v>6</v>
      </c>
      <c r="CC33" s="108">
        <v>1.65</v>
      </c>
      <c r="CD33" s="108">
        <v>2.1</v>
      </c>
      <c r="CE33" s="109">
        <v>1.05</v>
      </c>
      <c r="CF33" s="109">
        <v>1.7</v>
      </c>
      <c r="CG33" s="113">
        <v>2</v>
      </c>
      <c r="CH33" s="113">
        <v>3.81</v>
      </c>
      <c r="CI33" s="114">
        <v>8.9999999999999993E-3</v>
      </c>
    </row>
    <row r="34" spans="1:87" ht="15" x14ac:dyDescent="0.25">
      <c r="A34" s="150" t="s">
        <v>107</v>
      </c>
      <c r="B34" s="151"/>
      <c r="C34" s="151" t="s">
        <v>108</v>
      </c>
      <c r="D34" s="152" t="s">
        <v>69</v>
      </c>
      <c r="E34" s="153">
        <v>20</v>
      </c>
      <c r="F34" s="153">
        <v>2</v>
      </c>
      <c r="G34" s="153" t="s">
        <v>70</v>
      </c>
      <c r="H34" s="152"/>
      <c r="I34" s="153">
        <v>10.5</v>
      </c>
      <c r="J34" s="154" t="s">
        <v>71</v>
      </c>
      <c r="K34" s="153" t="s">
        <v>72</v>
      </c>
      <c r="L34" s="153" t="s">
        <v>73</v>
      </c>
      <c r="M34" s="155"/>
      <c r="N34" s="156">
        <v>0.23</v>
      </c>
      <c r="O34" s="152">
        <v>4</v>
      </c>
      <c r="P34" s="152">
        <v>2.75</v>
      </c>
      <c r="Q34" s="155">
        <v>4</v>
      </c>
      <c r="R34" s="155">
        <v>6</v>
      </c>
      <c r="S34" s="157" t="s">
        <v>74</v>
      </c>
      <c r="T34" s="155">
        <v>0.2</v>
      </c>
      <c r="U34" s="155">
        <v>8.0000000000000002E-3</v>
      </c>
      <c r="V34" s="155">
        <v>1.5</v>
      </c>
      <c r="W34" s="155">
        <v>0.2</v>
      </c>
      <c r="X34" s="155">
        <v>8.0000000000000002E-3</v>
      </c>
      <c r="Y34" s="155">
        <v>0.15</v>
      </c>
      <c r="Z34" s="158">
        <v>0.42499999999999999</v>
      </c>
      <c r="AA34" s="159">
        <v>2.1999999999999999E-2</v>
      </c>
      <c r="AB34" s="159">
        <v>1</v>
      </c>
      <c r="AC34" s="159">
        <v>0.01</v>
      </c>
      <c r="AD34" s="159">
        <v>0.5</v>
      </c>
      <c r="AE34" s="159">
        <v>2.8000000000000001E-2</v>
      </c>
      <c r="AF34" s="160">
        <v>8</v>
      </c>
      <c r="AG34" s="159">
        <v>0</v>
      </c>
      <c r="AH34" s="159">
        <v>0</v>
      </c>
      <c r="AI34" s="159">
        <v>0</v>
      </c>
      <c r="AJ34" s="159">
        <v>0</v>
      </c>
      <c r="AK34" s="159">
        <v>0</v>
      </c>
      <c r="AL34" s="159">
        <v>0</v>
      </c>
      <c r="AM34" s="159">
        <v>0</v>
      </c>
      <c r="AN34" s="159">
        <v>0.35</v>
      </c>
      <c r="AO34" s="159">
        <v>1.7999999999999999E-2</v>
      </c>
      <c r="AP34" s="159">
        <v>1.01</v>
      </c>
      <c r="AQ34" s="159">
        <v>1.2E-2</v>
      </c>
      <c r="AR34" s="159">
        <v>0.4</v>
      </c>
      <c r="AS34" s="159">
        <v>2.1999999999999999E-2</v>
      </c>
      <c r="AT34" s="159">
        <v>12</v>
      </c>
      <c r="AU34" s="159"/>
      <c r="AV34" s="83">
        <v>0</v>
      </c>
      <c r="AW34" s="56" t="s">
        <v>65</v>
      </c>
      <c r="AX34" s="83">
        <v>6</v>
      </c>
      <c r="AY34" s="83">
        <v>6</v>
      </c>
      <c r="AZ34" s="56" t="s">
        <v>65</v>
      </c>
      <c r="BA34" s="83">
        <v>6</v>
      </c>
      <c r="BB34" s="83">
        <v>6</v>
      </c>
      <c r="BC34" s="56" t="s">
        <v>65</v>
      </c>
      <c r="BD34" s="83">
        <v>14</v>
      </c>
      <c r="BE34" s="83">
        <v>14</v>
      </c>
      <c r="BF34" s="56" t="s">
        <v>65</v>
      </c>
      <c r="BG34" s="83">
        <v>14</v>
      </c>
      <c r="BH34" s="83">
        <v>14</v>
      </c>
      <c r="BI34" s="56" t="s">
        <v>65</v>
      </c>
      <c r="BJ34" s="83">
        <v>20</v>
      </c>
      <c r="BK34" s="84"/>
      <c r="BL34" s="158">
        <v>0.42499999999999999</v>
      </c>
      <c r="BM34" s="159">
        <v>2.1999999999999999E-2</v>
      </c>
      <c r="BN34" s="159">
        <v>1</v>
      </c>
      <c r="BO34" s="159">
        <v>0.01</v>
      </c>
      <c r="BP34" s="159">
        <v>0.5</v>
      </c>
      <c r="BQ34" s="160">
        <v>2.8000000000000001E-2</v>
      </c>
      <c r="BR34" s="161"/>
      <c r="BS34" s="162">
        <v>4</v>
      </c>
      <c r="BT34" s="163">
        <v>10</v>
      </c>
      <c r="BU34" s="164">
        <v>1</v>
      </c>
      <c r="BV34" s="165">
        <v>8.0000000000000002E-3</v>
      </c>
      <c r="BW34" s="162">
        <v>0.75</v>
      </c>
      <c r="BX34" s="162" t="s">
        <v>83</v>
      </c>
      <c r="BY34" s="162">
        <v>0.1</v>
      </c>
      <c r="BZ34" s="166">
        <v>6.4000000000000003E-3</v>
      </c>
      <c r="CA34" s="162"/>
      <c r="CB34" s="162">
        <v>6</v>
      </c>
      <c r="CC34" s="163">
        <v>1.35</v>
      </c>
      <c r="CD34" s="163">
        <v>1.45</v>
      </c>
      <c r="CE34" s="164">
        <v>0.72499999999999998</v>
      </c>
      <c r="CF34" s="164">
        <v>1.4</v>
      </c>
      <c r="CG34" s="161">
        <v>2</v>
      </c>
      <c r="CH34" s="161">
        <v>3.63</v>
      </c>
      <c r="CI34" s="167">
        <v>1.32E-2</v>
      </c>
    </row>
    <row r="35" spans="1:87" ht="15" x14ac:dyDescent="0.25">
      <c r="A35" s="150" t="s">
        <v>109</v>
      </c>
      <c r="B35" s="151"/>
      <c r="C35" s="151" t="s">
        <v>108</v>
      </c>
      <c r="D35" s="152" t="s">
        <v>69</v>
      </c>
      <c r="E35" s="153">
        <v>25</v>
      </c>
      <c r="F35" s="153">
        <v>2</v>
      </c>
      <c r="G35" s="153" t="s">
        <v>70</v>
      </c>
      <c r="H35" s="152"/>
      <c r="I35" s="153">
        <v>10.5</v>
      </c>
      <c r="J35" s="154" t="s">
        <v>71</v>
      </c>
      <c r="K35" s="153" t="s">
        <v>72</v>
      </c>
      <c r="L35" s="153" t="s">
        <v>73</v>
      </c>
      <c r="M35" s="155"/>
      <c r="N35" s="156">
        <v>0.23</v>
      </c>
      <c r="O35" s="152">
        <v>4</v>
      </c>
      <c r="P35" s="152">
        <v>2.75</v>
      </c>
      <c r="Q35" s="155">
        <v>3.5710000000000002</v>
      </c>
      <c r="R35" s="155">
        <v>8</v>
      </c>
      <c r="S35" s="157" t="s">
        <v>77</v>
      </c>
      <c r="T35" s="155">
        <v>0.2</v>
      </c>
      <c r="U35" s="155">
        <v>8.0000000000000002E-3</v>
      </c>
      <c r="V35" s="155">
        <v>1.5</v>
      </c>
      <c r="W35" s="155">
        <v>0.2</v>
      </c>
      <c r="X35" s="155">
        <v>8.0000000000000002E-3</v>
      </c>
      <c r="Y35" s="155">
        <v>0.15</v>
      </c>
      <c r="Z35" s="158">
        <v>0.42499999999999999</v>
      </c>
      <c r="AA35" s="159">
        <v>2.1999999999999999E-2</v>
      </c>
      <c r="AB35" s="159">
        <v>1.325</v>
      </c>
      <c r="AC35" s="159">
        <v>1.2E-2</v>
      </c>
      <c r="AD35" s="159">
        <v>0.5</v>
      </c>
      <c r="AE35" s="159">
        <v>2.8000000000000001E-2</v>
      </c>
      <c r="AF35" s="160">
        <v>9</v>
      </c>
      <c r="AG35" s="159">
        <v>0</v>
      </c>
      <c r="AH35" s="159">
        <v>0</v>
      </c>
      <c r="AI35" s="159">
        <v>0</v>
      </c>
      <c r="AJ35" s="159">
        <v>0</v>
      </c>
      <c r="AK35" s="159">
        <v>0</v>
      </c>
      <c r="AL35" s="159">
        <v>0</v>
      </c>
      <c r="AM35" s="159">
        <v>0</v>
      </c>
      <c r="AN35" s="159">
        <v>0.4</v>
      </c>
      <c r="AO35" s="159">
        <v>1.7999999999999999E-2</v>
      </c>
      <c r="AP35" s="159">
        <v>1.335</v>
      </c>
      <c r="AQ35" s="159">
        <v>1.6E-2</v>
      </c>
      <c r="AR35" s="159">
        <v>0.45</v>
      </c>
      <c r="AS35" s="159">
        <v>2.1999999999999999E-2</v>
      </c>
      <c r="AT35" s="159">
        <v>16</v>
      </c>
      <c r="AU35" s="159"/>
      <c r="AV35" s="83">
        <v>0</v>
      </c>
      <c r="AW35" s="56" t="s">
        <v>65</v>
      </c>
      <c r="AX35" s="83">
        <v>8</v>
      </c>
      <c r="AY35" s="83">
        <v>8</v>
      </c>
      <c r="AZ35" s="56" t="s">
        <v>65</v>
      </c>
      <c r="BA35" s="83">
        <v>8</v>
      </c>
      <c r="BB35" s="83">
        <v>8</v>
      </c>
      <c r="BC35" s="56" t="s">
        <v>65</v>
      </c>
      <c r="BD35" s="83">
        <v>17</v>
      </c>
      <c r="BE35" s="83">
        <v>17</v>
      </c>
      <c r="BF35" s="56" t="s">
        <v>65</v>
      </c>
      <c r="BG35" s="83">
        <v>17</v>
      </c>
      <c r="BH35" s="83">
        <v>17</v>
      </c>
      <c r="BI35" s="56" t="s">
        <v>65</v>
      </c>
      <c r="BJ35" s="83">
        <v>25</v>
      </c>
      <c r="BK35" s="84"/>
      <c r="BL35" s="158">
        <v>0.42499999999999999</v>
      </c>
      <c r="BM35" s="159">
        <v>2.1999999999999999E-2</v>
      </c>
      <c r="BN35" s="159">
        <v>1.325</v>
      </c>
      <c r="BO35" s="159">
        <v>1.2E-2</v>
      </c>
      <c r="BP35" s="159">
        <v>0.5</v>
      </c>
      <c r="BQ35" s="160">
        <v>2.8000000000000001E-2</v>
      </c>
      <c r="BR35" s="161"/>
      <c r="BS35" s="162">
        <v>4</v>
      </c>
      <c r="BT35" s="163">
        <v>10</v>
      </c>
      <c r="BU35" s="164">
        <v>1.2</v>
      </c>
      <c r="BV35" s="165">
        <v>8.0000000000000002E-3</v>
      </c>
      <c r="BW35" s="162">
        <v>0.76</v>
      </c>
      <c r="BX35" s="162" t="s">
        <v>110</v>
      </c>
      <c r="BY35" s="162">
        <v>0.1</v>
      </c>
      <c r="BZ35" s="166">
        <v>6.3E-3</v>
      </c>
      <c r="CA35" s="162"/>
      <c r="CB35" s="162">
        <v>6</v>
      </c>
      <c r="CC35" s="163">
        <v>1.375</v>
      </c>
      <c r="CD35" s="163">
        <v>1.55</v>
      </c>
      <c r="CE35" s="164">
        <v>0.77500000000000002</v>
      </c>
      <c r="CF35" s="164">
        <v>1.425</v>
      </c>
      <c r="CG35" s="161">
        <v>2</v>
      </c>
      <c r="CH35" s="161">
        <v>3.63</v>
      </c>
      <c r="CI35" s="167">
        <v>1.2999999999999999E-2</v>
      </c>
    </row>
    <row r="36" spans="1:87" ht="15" x14ac:dyDescent="0.25">
      <c r="A36" s="150" t="s">
        <v>111</v>
      </c>
      <c r="B36" s="151"/>
      <c r="C36" s="151" t="s">
        <v>108</v>
      </c>
      <c r="D36" s="152" t="s">
        <v>69</v>
      </c>
      <c r="E36" s="153">
        <v>30</v>
      </c>
      <c r="F36" s="153">
        <v>2</v>
      </c>
      <c r="G36" s="153" t="s">
        <v>70</v>
      </c>
      <c r="H36" s="152"/>
      <c r="I36" s="153">
        <v>10.5</v>
      </c>
      <c r="J36" s="154" t="s">
        <v>71</v>
      </c>
      <c r="K36" s="153" t="s">
        <v>72</v>
      </c>
      <c r="L36" s="153" t="s">
        <v>73</v>
      </c>
      <c r="M36" s="155"/>
      <c r="N36" s="156">
        <v>0.23</v>
      </c>
      <c r="O36" s="152">
        <v>4</v>
      </c>
      <c r="P36" s="152">
        <v>2.75</v>
      </c>
      <c r="Q36" s="155">
        <v>3.75</v>
      </c>
      <c r="R36" s="155">
        <v>9</v>
      </c>
      <c r="S36" s="157" t="s">
        <v>80</v>
      </c>
      <c r="T36" s="155">
        <v>0.2</v>
      </c>
      <c r="U36" s="155">
        <v>8.0000000000000002E-3</v>
      </c>
      <c r="V36" s="155">
        <v>1.5</v>
      </c>
      <c r="W36" s="155">
        <v>0.2</v>
      </c>
      <c r="X36" s="155">
        <v>8.0000000000000002E-3</v>
      </c>
      <c r="Y36" s="155">
        <v>0.15</v>
      </c>
      <c r="Z36" s="92">
        <v>0.45</v>
      </c>
      <c r="AA36" s="159">
        <v>2.1999999999999999E-2</v>
      </c>
      <c r="AB36" s="159">
        <v>1.7050000000000001</v>
      </c>
      <c r="AC36" s="93">
        <v>1.6E-2</v>
      </c>
      <c r="AD36" s="93">
        <v>0.52500000000000002</v>
      </c>
      <c r="AE36" s="159">
        <v>2.8000000000000001E-2</v>
      </c>
      <c r="AF36" s="160">
        <v>12</v>
      </c>
      <c r="AG36" s="159">
        <v>0</v>
      </c>
      <c r="AH36" s="159">
        <v>0</v>
      </c>
      <c r="AI36" s="159">
        <v>0</v>
      </c>
      <c r="AJ36" s="159">
        <v>0</v>
      </c>
      <c r="AK36" s="159">
        <v>0</v>
      </c>
      <c r="AL36" s="159">
        <v>0</v>
      </c>
      <c r="AM36" s="159">
        <v>0</v>
      </c>
      <c r="AN36" s="159">
        <v>0.375</v>
      </c>
      <c r="AO36" s="159">
        <v>1.7999999999999999E-2</v>
      </c>
      <c r="AP36" s="159">
        <v>1.71</v>
      </c>
      <c r="AQ36" s="93">
        <v>1.7999999999999999E-2</v>
      </c>
      <c r="AR36" s="159">
        <v>0.42499999999999999</v>
      </c>
      <c r="AS36" s="159">
        <v>2.1999999999999999E-2</v>
      </c>
      <c r="AT36" s="159">
        <v>18</v>
      </c>
      <c r="AU36" s="159"/>
      <c r="AV36" s="83">
        <v>0</v>
      </c>
      <c r="AW36" s="56" t="s">
        <v>65</v>
      </c>
      <c r="AX36" s="83">
        <v>9</v>
      </c>
      <c r="AY36" s="83">
        <v>9</v>
      </c>
      <c r="AZ36" s="56" t="s">
        <v>65</v>
      </c>
      <c r="BA36" s="83">
        <v>9</v>
      </c>
      <c r="BB36" s="83">
        <v>9</v>
      </c>
      <c r="BC36" s="56" t="s">
        <v>65</v>
      </c>
      <c r="BD36" s="83">
        <v>21</v>
      </c>
      <c r="BE36" s="83">
        <v>21</v>
      </c>
      <c r="BF36" s="56" t="s">
        <v>65</v>
      </c>
      <c r="BG36" s="83">
        <v>21</v>
      </c>
      <c r="BH36" s="83">
        <v>21</v>
      </c>
      <c r="BI36" s="56" t="s">
        <v>65</v>
      </c>
      <c r="BJ36" s="83">
        <v>30</v>
      </c>
      <c r="BK36" s="84"/>
      <c r="BL36" s="92">
        <v>0.45</v>
      </c>
      <c r="BM36" s="159">
        <v>2.1999999999999999E-2</v>
      </c>
      <c r="BN36" s="159">
        <v>1.7050000000000001</v>
      </c>
      <c r="BO36" s="93">
        <v>1.6E-2</v>
      </c>
      <c r="BP36" s="93">
        <v>0.52500000000000002</v>
      </c>
      <c r="BQ36" s="160">
        <v>2.8000000000000001E-2</v>
      </c>
      <c r="BR36" s="161"/>
      <c r="BS36" s="162">
        <v>4</v>
      </c>
      <c r="BT36" s="163">
        <v>10</v>
      </c>
      <c r="BU36" s="164">
        <v>1.2</v>
      </c>
      <c r="BV36" s="165">
        <v>8.0000000000000002E-3</v>
      </c>
      <c r="BW36" s="162">
        <v>0.81499999999999995</v>
      </c>
      <c r="BX36" s="162" t="s">
        <v>110</v>
      </c>
      <c r="BY36" s="162">
        <v>0.1</v>
      </c>
      <c r="BZ36" s="166">
        <v>5.8999999999999999E-3</v>
      </c>
      <c r="CA36" s="162"/>
      <c r="CB36" s="162">
        <v>6</v>
      </c>
      <c r="CC36" s="163">
        <v>1.4</v>
      </c>
      <c r="CD36" s="163">
        <v>1.65</v>
      </c>
      <c r="CE36" s="164">
        <v>0.82499999999999996</v>
      </c>
      <c r="CF36" s="164">
        <v>1.45</v>
      </c>
      <c r="CG36" s="161">
        <v>2</v>
      </c>
      <c r="CH36" s="161">
        <v>3.63</v>
      </c>
      <c r="CI36" s="167">
        <v>1.29E-2</v>
      </c>
    </row>
    <row r="37" spans="1:87" ht="15" x14ac:dyDescent="0.25">
      <c r="A37" s="150" t="s">
        <v>112</v>
      </c>
      <c r="B37" s="151"/>
      <c r="C37" s="151" t="s">
        <v>108</v>
      </c>
      <c r="D37" s="152" t="s">
        <v>69</v>
      </c>
      <c r="E37" s="153">
        <v>35</v>
      </c>
      <c r="F37" s="153">
        <v>2</v>
      </c>
      <c r="G37" s="153" t="s">
        <v>70</v>
      </c>
      <c r="H37" s="152"/>
      <c r="I37" s="153">
        <v>10.5</v>
      </c>
      <c r="J37" s="154" t="s">
        <v>71</v>
      </c>
      <c r="K37" s="153" t="s">
        <v>72</v>
      </c>
      <c r="L37" s="153" t="s">
        <v>73</v>
      </c>
      <c r="M37" s="155"/>
      <c r="N37" s="156">
        <v>0.23</v>
      </c>
      <c r="O37" s="152">
        <v>4</v>
      </c>
      <c r="P37" s="152">
        <v>2.75</v>
      </c>
      <c r="Q37" s="155">
        <v>3.5</v>
      </c>
      <c r="R37" s="155">
        <v>11</v>
      </c>
      <c r="S37" s="157" t="s">
        <v>80</v>
      </c>
      <c r="T37" s="155">
        <v>0.2</v>
      </c>
      <c r="U37" s="155">
        <v>0.01</v>
      </c>
      <c r="V37" s="155">
        <v>2</v>
      </c>
      <c r="W37" s="155">
        <v>0.2</v>
      </c>
      <c r="X37" s="155">
        <v>0.01</v>
      </c>
      <c r="Y37" s="155">
        <v>0.15</v>
      </c>
      <c r="Z37" s="158">
        <v>0.47499999999999998</v>
      </c>
      <c r="AA37" s="159">
        <v>2.5000000000000001E-2</v>
      </c>
      <c r="AB37" s="159">
        <v>1.9930000000000001</v>
      </c>
      <c r="AC37" s="159">
        <v>1.6E-2</v>
      </c>
      <c r="AD37" s="159">
        <v>0.55000000000000004</v>
      </c>
      <c r="AE37" s="159">
        <v>3.2000000000000001E-2</v>
      </c>
      <c r="AF37" s="160">
        <v>11</v>
      </c>
      <c r="AG37" s="159">
        <v>0.4</v>
      </c>
      <c r="AH37" s="159">
        <v>2.5000000000000001E-2</v>
      </c>
      <c r="AI37" s="159">
        <v>1.9930000000000001</v>
      </c>
      <c r="AJ37" s="159">
        <v>1.6E-2</v>
      </c>
      <c r="AK37" s="159">
        <v>0.47499999999999998</v>
      </c>
      <c r="AL37" s="159">
        <v>3.2000000000000001E-2</v>
      </c>
      <c r="AM37" s="159">
        <v>12</v>
      </c>
      <c r="AN37" s="159">
        <v>0.375</v>
      </c>
      <c r="AO37" s="159">
        <v>1.7999999999999999E-2</v>
      </c>
      <c r="AP37" s="159">
        <v>2.0099999999999998</v>
      </c>
      <c r="AQ37" s="159">
        <v>1.7999999999999999E-2</v>
      </c>
      <c r="AR37" s="159">
        <v>0.42499999999999999</v>
      </c>
      <c r="AS37" s="159">
        <v>2.1999999999999999E-2</v>
      </c>
      <c r="AT37" s="159">
        <v>12</v>
      </c>
      <c r="AU37" s="159"/>
      <c r="AV37" s="83">
        <v>0</v>
      </c>
      <c r="AW37" s="56" t="s">
        <v>65</v>
      </c>
      <c r="AX37" s="83">
        <v>6</v>
      </c>
      <c r="AY37" s="83">
        <v>6</v>
      </c>
      <c r="AZ37" s="56" t="s">
        <v>65</v>
      </c>
      <c r="BA37" s="83">
        <v>12</v>
      </c>
      <c r="BB37" s="83">
        <v>12</v>
      </c>
      <c r="BC37" s="56" t="s">
        <v>65</v>
      </c>
      <c r="BD37" s="83">
        <v>23</v>
      </c>
      <c r="BE37" s="83">
        <v>23</v>
      </c>
      <c r="BF37" s="56" t="s">
        <v>65</v>
      </c>
      <c r="BG37" s="83">
        <v>29</v>
      </c>
      <c r="BH37" s="83">
        <v>29</v>
      </c>
      <c r="BI37" s="56" t="s">
        <v>65</v>
      </c>
      <c r="BJ37" s="83">
        <v>35</v>
      </c>
      <c r="BK37" s="84"/>
      <c r="BL37" s="158">
        <v>0.47499999999999998</v>
      </c>
      <c r="BM37" s="159">
        <v>2.5000000000000001E-2</v>
      </c>
      <c r="BN37" s="159">
        <v>1.9930000000000001</v>
      </c>
      <c r="BO37" s="159">
        <v>1.6E-2</v>
      </c>
      <c r="BP37" s="159">
        <v>0.55000000000000004</v>
      </c>
      <c r="BQ37" s="160">
        <v>3.2000000000000001E-2</v>
      </c>
      <c r="BR37" s="161"/>
      <c r="BS37" s="162">
        <v>5</v>
      </c>
      <c r="BT37" s="163">
        <v>10</v>
      </c>
      <c r="BU37" s="164">
        <v>1.2</v>
      </c>
      <c r="BV37" s="165">
        <v>8.0000000000000002E-3</v>
      </c>
      <c r="BW37" s="162">
        <v>0.72</v>
      </c>
      <c r="BX37" s="162" t="s">
        <v>110</v>
      </c>
      <c r="BY37" s="162">
        <v>0.1</v>
      </c>
      <c r="BZ37" s="166">
        <v>6.7000000000000002E-3</v>
      </c>
      <c r="CA37" s="162"/>
      <c r="CB37" s="162">
        <v>6</v>
      </c>
      <c r="CC37" s="163">
        <v>1.45</v>
      </c>
      <c r="CD37" s="163">
        <v>1.75</v>
      </c>
      <c r="CE37" s="164">
        <v>0.875</v>
      </c>
      <c r="CF37" s="164">
        <v>1.5</v>
      </c>
      <c r="CG37" s="161">
        <v>2</v>
      </c>
      <c r="CH37" s="161">
        <v>3.63</v>
      </c>
      <c r="CI37" s="167">
        <v>1.18E-2</v>
      </c>
    </row>
    <row r="38" spans="1:87" ht="15" x14ac:dyDescent="0.25">
      <c r="A38" s="150" t="s">
        <v>113</v>
      </c>
      <c r="B38" s="151"/>
      <c r="C38" s="151" t="s">
        <v>108</v>
      </c>
      <c r="D38" s="152" t="s">
        <v>69</v>
      </c>
      <c r="E38" s="153">
        <v>40</v>
      </c>
      <c r="F38" s="153">
        <v>2</v>
      </c>
      <c r="G38" s="153" t="s">
        <v>70</v>
      </c>
      <c r="H38" s="152"/>
      <c r="I38" s="153">
        <v>10.5</v>
      </c>
      <c r="J38" s="154" t="s">
        <v>71</v>
      </c>
      <c r="K38" s="153" t="s">
        <v>72</v>
      </c>
      <c r="L38" s="153" t="s">
        <v>73</v>
      </c>
      <c r="M38" s="155"/>
      <c r="N38" s="156">
        <v>0.23</v>
      </c>
      <c r="O38" s="152">
        <v>4</v>
      </c>
      <c r="P38" s="152">
        <v>2.75</v>
      </c>
      <c r="Q38" s="155">
        <v>4</v>
      </c>
      <c r="R38" s="155">
        <v>11</v>
      </c>
      <c r="S38" s="157" t="s">
        <v>85</v>
      </c>
      <c r="T38" s="155">
        <v>0.2</v>
      </c>
      <c r="U38" s="155">
        <v>8.0000000000000002E-3</v>
      </c>
      <c r="V38" s="155">
        <v>2</v>
      </c>
      <c r="W38" s="155">
        <v>0.2</v>
      </c>
      <c r="X38" s="155">
        <v>8.0000000000000002E-3</v>
      </c>
      <c r="Y38" s="155">
        <v>0.15</v>
      </c>
      <c r="Z38" s="158">
        <v>0.47499999999999998</v>
      </c>
      <c r="AA38" s="159">
        <v>2.5000000000000001E-2</v>
      </c>
      <c r="AB38" s="159">
        <v>2.2930000000000001</v>
      </c>
      <c r="AC38" s="159">
        <v>1.7999999999999999E-2</v>
      </c>
      <c r="AD38" s="159">
        <v>0.55000000000000004</v>
      </c>
      <c r="AE38" s="159">
        <v>3.2000000000000001E-2</v>
      </c>
      <c r="AF38" s="160">
        <v>12</v>
      </c>
      <c r="AG38" s="159">
        <v>0.4</v>
      </c>
      <c r="AH38" s="159">
        <v>2.5000000000000001E-2</v>
      </c>
      <c r="AI38" s="159">
        <v>2.2930000000000001</v>
      </c>
      <c r="AJ38" s="159">
        <v>1.7999999999999999E-2</v>
      </c>
      <c r="AK38" s="159">
        <v>0.47499999999999998</v>
      </c>
      <c r="AL38" s="159">
        <v>3.2000000000000001E-2</v>
      </c>
      <c r="AM38" s="159">
        <v>14</v>
      </c>
      <c r="AN38" s="159">
        <v>0.375</v>
      </c>
      <c r="AO38" s="159">
        <v>1.7999999999999999E-2</v>
      </c>
      <c r="AP38" s="159">
        <v>2.31</v>
      </c>
      <c r="AQ38" s="159">
        <v>0.02</v>
      </c>
      <c r="AR38" s="159">
        <v>0.42499999999999999</v>
      </c>
      <c r="AS38" s="159">
        <v>2.1999999999999999E-2</v>
      </c>
      <c r="AT38" s="159">
        <v>14</v>
      </c>
      <c r="AU38" s="159"/>
      <c r="AV38" s="83">
        <v>0</v>
      </c>
      <c r="AW38" s="56" t="s">
        <v>65</v>
      </c>
      <c r="AX38" s="83">
        <v>7</v>
      </c>
      <c r="AY38" s="83">
        <v>7</v>
      </c>
      <c r="AZ38" s="56" t="s">
        <v>65</v>
      </c>
      <c r="BA38" s="83">
        <v>14</v>
      </c>
      <c r="BB38" s="83">
        <v>14</v>
      </c>
      <c r="BC38" s="56" t="s">
        <v>65</v>
      </c>
      <c r="BD38" s="83">
        <v>26</v>
      </c>
      <c r="BE38" s="83">
        <v>26</v>
      </c>
      <c r="BF38" s="56" t="s">
        <v>65</v>
      </c>
      <c r="BG38" s="83">
        <v>33</v>
      </c>
      <c r="BH38" s="83">
        <v>33</v>
      </c>
      <c r="BI38" s="56" t="s">
        <v>65</v>
      </c>
      <c r="BJ38" s="83">
        <v>40</v>
      </c>
      <c r="BK38" s="84"/>
      <c r="BL38" s="158">
        <v>0.47499999999999998</v>
      </c>
      <c r="BM38" s="159">
        <v>2.5000000000000001E-2</v>
      </c>
      <c r="BN38" s="159">
        <v>2.2930000000000001</v>
      </c>
      <c r="BO38" s="159">
        <v>1.7999999999999999E-2</v>
      </c>
      <c r="BP38" s="159">
        <v>0.55000000000000004</v>
      </c>
      <c r="BQ38" s="160">
        <v>3.2000000000000001E-2</v>
      </c>
      <c r="BR38" s="161"/>
      <c r="BS38" s="162">
        <v>5</v>
      </c>
      <c r="BT38" s="163">
        <v>10</v>
      </c>
      <c r="BU38" s="164">
        <v>1.2</v>
      </c>
      <c r="BV38" s="165">
        <v>8.0000000000000002E-3</v>
      </c>
      <c r="BW38" s="162">
        <v>0.76</v>
      </c>
      <c r="BX38" s="162" t="s">
        <v>110</v>
      </c>
      <c r="BY38" s="162">
        <v>0.1</v>
      </c>
      <c r="BZ38" s="166">
        <v>6.3E-3</v>
      </c>
      <c r="CA38" s="162"/>
      <c r="CB38" s="162">
        <v>6</v>
      </c>
      <c r="CC38" s="163">
        <v>1.5</v>
      </c>
      <c r="CD38" s="163">
        <v>1.85</v>
      </c>
      <c r="CE38" s="164">
        <v>0.92500000000000004</v>
      </c>
      <c r="CF38" s="164">
        <v>1.55</v>
      </c>
      <c r="CG38" s="161">
        <v>2</v>
      </c>
      <c r="CH38" s="161">
        <v>3.63</v>
      </c>
      <c r="CI38" s="167">
        <v>1.29E-2</v>
      </c>
    </row>
    <row r="39" spans="1:87" ht="15" x14ac:dyDescent="0.25">
      <c r="A39" s="150" t="s">
        <v>114</v>
      </c>
      <c r="B39" s="151"/>
      <c r="C39" s="151" t="s">
        <v>108</v>
      </c>
      <c r="D39" s="152" t="s">
        <v>69</v>
      </c>
      <c r="E39" s="153">
        <v>45</v>
      </c>
      <c r="F39" s="153">
        <v>2</v>
      </c>
      <c r="G39" s="153" t="s">
        <v>70</v>
      </c>
      <c r="H39" s="152"/>
      <c r="I39" s="153">
        <v>10.5</v>
      </c>
      <c r="J39" s="154" t="s">
        <v>71</v>
      </c>
      <c r="K39" s="153" t="s">
        <v>72</v>
      </c>
      <c r="L39" s="153" t="s">
        <v>73</v>
      </c>
      <c r="M39" s="155"/>
      <c r="N39" s="156">
        <v>0.23</v>
      </c>
      <c r="O39" s="152">
        <v>4</v>
      </c>
      <c r="P39" s="152">
        <v>2.75</v>
      </c>
      <c r="Q39" s="155">
        <v>3.75</v>
      </c>
      <c r="R39" s="155">
        <v>13</v>
      </c>
      <c r="S39" s="157" t="s">
        <v>87</v>
      </c>
      <c r="T39" s="155">
        <v>0.2</v>
      </c>
      <c r="U39" s="155">
        <v>8.0000000000000002E-3</v>
      </c>
      <c r="V39" s="155">
        <v>2</v>
      </c>
      <c r="W39" s="155">
        <v>0.2</v>
      </c>
      <c r="X39" s="155">
        <v>8.0000000000000002E-3</v>
      </c>
      <c r="Y39" s="155">
        <v>0.15</v>
      </c>
      <c r="Z39" s="158">
        <v>0.47499999999999998</v>
      </c>
      <c r="AA39" s="159">
        <v>2.5000000000000001E-2</v>
      </c>
      <c r="AB39" s="159">
        <v>2.593</v>
      </c>
      <c r="AC39" s="159">
        <v>0.02</v>
      </c>
      <c r="AD39" s="159">
        <v>0.55000000000000004</v>
      </c>
      <c r="AE39" s="159">
        <v>3.2000000000000001E-2</v>
      </c>
      <c r="AF39" s="160">
        <v>12</v>
      </c>
      <c r="AG39" s="159">
        <v>0.42499999999999999</v>
      </c>
      <c r="AH39" s="159">
        <v>2.5000000000000001E-2</v>
      </c>
      <c r="AI39" s="159">
        <v>2.593</v>
      </c>
      <c r="AJ39" s="159">
        <v>0.02</v>
      </c>
      <c r="AK39" s="159">
        <v>0.5</v>
      </c>
      <c r="AL39" s="159">
        <v>3.2000000000000001E-2</v>
      </c>
      <c r="AM39" s="159">
        <v>21</v>
      </c>
      <c r="AN39" s="159">
        <v>0.375</v>
      </c>
      <c r="AO39" s="159">
        <v>1.7999999999999999E-2</v>
      </c>
      <c r="AP39" s="159">
        <v>2.61</v>
      </c>
      <c r="AQ39" s="159">
        <v>2.1999999999999999E-2</v>
      </c>
      <c r="AR39" s="159">
        <v>0.42499999999999999</v>
      </c>
      <c r="AS39" s="159">
        <v>2.1999999999999999E-2</v>
      </c>
      <c r="AT39" s="159">
        <v>12</v>
      </c>
      <c r="AU39" s="159"/>
      <c r="AV39" s="83">
        <v>0</v>
      </c>
      <c r="AW39" s="56" t="s">
        <v>65</v>
      </c>
      <c r="AX39" s="83">
        <v>6</v>
      </c>
      <c r="AY39" s="83">
        <v>6</v>
      </c>
      <c r="AZ39" s="56" t="s">
        <v>65</v>
      </c>
      <c r="BA39" s="83">
        <v>16.5</v>
      </c>
      <c r="BB39" s="83">
        <v>16.5</v>
      </c>
      <c r="BC39" s="56" t="s">
        <v>65</v>
      </c>
      <c r="BD39" s="83">
        <v>28.5</v>
      </c>
      <c r="BE39" s="83">
        <v>28.5</v>
      </c>
      <c r="BF39" s="56" t="s">
        <v>65</v>
      </c>
      <c r="BG39" s="83">
        <v>39</v>
      </c>
      <c r="BH39" s="83">
        <v>39</v>
      </c>
      <c r="BI39" s="56" t="s">
        <v>65</v>
      </c>
      <c r="BJ39" s="83">
        <v>45</v>
      </c>
      <c r="BK39" s="84"/>
      <c r="BL39" s="158">
        <v>0.47499999999999998</v>
      </c>
      <c r="BM39" s="159">
        <v>2.5000000000000001E-2</v>
      </c>
      <c r="BN39" s="159">
        <v>2.593</v>
      </c>
      <c r="BO39" s="159">
        <v>0.02</v>
      </c>
      <c r="BP39" s="159">
        <v>0.55000000000000004</v>
      </c>
      <c r="BQ39" s="160">
        <v>3.2000000000000001E-2</v>
      </c>
      <c r="BR39" s="161"/>
      <c r="BS39" s="162">
        <v>4</v>
      </c>
      <c r="BT39" s="163">
        <v>10</v>
      </c>
      <c r="BU39" s="164">
        <v>1.5</v>
      </c>
      <c r="BV39" s="165">
        <v>8.0000000000000002E-3</v>
      </c>
      <c r="BW39" s="162">
        <v>1.2250000000000001</v>
      </c>
      <c r="BX39" s="162" t="s">
        <v>115</v>
      </c>
      <c r="BY39" s="162">
        <v>0.1</v>
      </c>
      <c r="BZ39" s="166">
        <v>3.8999999999999998E-3</v>
      </c>
      <c r="CA39" s="162"/>
      <c r="CB39" s="162">
        <v>6</v>
      </c>
      <c r="CC39" s="163">
        <v>1.55</v>
      </c>
      <c r="CD39" s="163">
        <v>1.95</v>
      </c>
      <c r="CE39" s="164">
        <v>0.97499999999999998</v>
      </c>
      <c r="CF39" s="164">
        <v>1.6</v>
      </c>
      <c r="CG39" s="161">
        <v>2</v>
      </c>
      <c r="CH39" s="161">
        <v>3.63</v>
      </c>
      <c r="CI39" s="167">
        <v>1.21E-2</v>
      </c>
    </row>
    <row r="40" spans="1:87" ht="15" x14ac:dyDescent="0.25">
      <c r="A40" s="94" t="s">
        <v>116</v>
      </c>
      <c r="B40" s="95"/>
      <c r="C40" s="95" t="s">
        <v>108</v>
      </c>
      <c r="D40" s="96" t="s">
        <v>69</v>
      </c>
      <c r="E40" s="97">
        <v>20</v>
      </c>
      <c r="F40" s="97">
        <v>2</v>
      </c>
      <c r="G40" s="97" t="s">
        <v>89</v>
      </c>
      <c r="H40" s="96"/>
      <c r="I40" s="97">
        <v>8.5</v>
      </c>
      <c r="J40" s="99" t="s">
        <v>71</v>
      </c>
      <c r="K40" s="97" t="s">
        <v>72</v>
      </c>
      <c r="L40" s="97" t="s">
        <v>73</v>
      </c>
      <c r="M40" s="100"/>
      <c r="N40" s="101">
        <v>0.23</v>
      </c>
      <c r="O40" s="96">
        <v>3</v>
      </c>
      <c r="P40" s="96">
        <v>2.875</v>
      </c>
      <c r="Q40" s="100">
        <v>4</v>
      </c>
      <c r="R40" s="100">
        <v>6</v>
      </c>
      <c r="S40" s="103" t="s">
        <v>74</v>
      </c>
      <c r="T40" s="100">
        <v>0.2</v>
      </c>
      <c r="U40" s="100">
        <v>8.0000000000000002E-3</v>
      </c>
      <c r="V40" s="100">
        <v>1.5</v>
      </c>
      <c r="W40" s="100">
        <v>0.2</v>
      </c>
      <c r="X40" s="100">
        <v>8.0000000000000002E-3</v>
      </c>
      <c r="Y40" s="100">
        <v>0.15</v>
      </c>
      <c r="Z40" s="104">
        <v>0.45</v>
      </c>
      <c r="AA40" s="54">
        <v>2.1999999999999999E-2</v>
      </c>
      <c r="AB40" s="54">
        <v>1</v>
      </c>
      <c r="AC40" s="54">
        <v>0.01</v>
      </c>
      <c r="AD40" s="54">
        <v>0.55000000000000004</v>
      </c>
      <c r="AE40" s="54">
        <v>2.8000000000000001E-2</v>
      </c>
      <c r="AF40" s="105">
        <v>8</v>
      </c>
      <c r="AG40" s="54">
        <v>0</v>
      </c>
      <c r="AH40" s="54">
        <v>0</v>
      </c>
      <c r="AI40" s="54">
        <v>0</v>
      </c>
      <c r="AJ40" s="54">
        <v>0</v>
      </c>
      <c r="AK40" s="54">
        <v>0</v>
      </c>
      <c r="AL40" s="54">
        <v>0</v>
      </c>
      <c r="AM40" s="54">
        <v>0</v>
      </c>
      <c r="AN40" s="54">
        <v>0.375</v>
      </c>
      <c r="AO40" s="54">
        <v>1.7999999999999999E-2</v>
      </c>
      <c r="AP40" s="93">
        <v>1.01</v>
      </c>
      <c r="AQ40" s="54">
        <v>1.2E-2</v>
      </c>
      <c r="AR40" s="54">
        <v>0.45</v>
      </c>
      <c r="AS40" s="54">
        <v>2.1999999999999999E-2</v>
      </c>
      <c r="AT40" s="54">
        <v>12</v>
      </c>
      <c r="AU40" s="54"/>
      <c r="AV40" s="83">
        <v>0</v>
      </c>
      <c r="AW40" s="56" t="s">
        <v>65</v>
      </c>
      <c r="AX40" s="83">
        <v>6</v>
      </c>
      <c r="AY40" s="83">
        <v>6</v>
      </c>
      <c r="AZ40" s="56" t="s">
        <v>65</v>
      </c>
      <c r="BA40" s="83">
        <v>6</v>
      </c>
      <c r="BB40" s="83">
        <v>6</v>
      </c>
      <c r="BC40" s="56" t="s">
        <v>65</v>
      </c>
      <c r="BD40" s="83">
        <v>14</v>
      </c>
      <c r="BE40" s="83">
        <v>14</v>
      </c>
      <c r="BF40" s="56" t="s">
        <v>65</v>
      </c>
      <c r="BG40" s="83">
        <v>14</v>
      </c>
      <c r="BH40" s="83">
        <v>14</v>
      </c>
      <c r="BI40" s="56" t="s">
        <v>65</v>
      </c>
      <c r="BJ40" s="83">
        <v>20</v>
      </c>
      <c r="BK40" s="84"/>
      <c r="BL40" s="104">
        <v>0.45</v>
      </c>
      <c r="BM40" s="54">
        <v>2.1999999999999999E-2</v>
      </c>
      <c r="BN40" s="54">
        <v>1</v>
      </c>
      <c r="BO40" s="54">
        <v>0.01</v>
      </c>
      <c r="BP40" s="54">
        <v>0.55000000000000004</v>
      </c>
      <c r="BQ40" s="105">
        <v>2.8000000000000001E-2</v>
      </c>
      <c r="BR40" s="84"/>
      <c r="BS40" s="107">
        <v>4</v>
      </c>
      <c r="BT40" s="108">
        <v>10</v>
      </c>
      <c r="BU40" s="109">
        <v>1</v>
      </c>
      <c r="BV40" s="110">
        <v>8.0000000000000002E-3</v>
      </c>
      <c r="BW40" s="107">
        <v>0.75</v>
      </c>
      <c r="BX40" s="107" t="s">
        <v>83</v>
      </c>
      <c r="BY40" s="111">
        <v>0.1</v>
      </c>
      <c r="BZ40" s="112">
        <v>6.4000000000000003E-3</v>
      </c>
      <c r="CA40" s="107"/>
      <c r="CB40" s="107">
        <v>6</v>
      </c>
      <c r="CC40" s="168">
        <v>1.25</v>
      </c>
      <c r="CD40" s="108">
        <v>1.45</v>
      </c>
      <c r="CE40" s="109">
        <v>0.72499999999999998</v>
      </c>
      <c r="CF40" s="109">
        <v>1.4</v>
      </c>
      <c r="CG40" s="113">
        <v>2</v>
      </c>
      <c r="CH40" s="113">
        <v>3.38</v>
      </c>
      <c r="CI40" s="114">
        <v>6.8999999999999999E-3</v>
      </c>
    </row>
    <row r="41" spans="1:87" ht="15" x14ac:dyDescent="0.25">
      <c r="A41" s="94" t="s">
        <v>117</v>
      </c>
      <c r="B41" s="95"/>
      <c r="C41" s="95" t="s">
        <v>108</v>
      </c>
      <c r="D41" s="96" t="s">
        <v>69</v>
      </c>
      <c r="E41" s="97">
        <v>25</v>
      </c>
      <c r="F41" s="97">
        <v>2</v>
      </c>
      <c r="G41" s="97" t="s">
        <v>89</v>
      </c>
      <c r="H41" s="96"/>
      <c r="I41" s="97">
        <v>8.5</v>
      </c>
      <c r="J41" s="99" t="s">
        <v>71</v>
      </c>
      <c r="K41" s="97" t="s">
        <v>72</v>
      </c>
      <c r="L41" s="97" t="s">
        <v>73</v>
      </c>
      <c r="M41" s="100"/>
      <c r="N41" s="101">
        <v>0.23</v>
      </c>
      <c r="O41" s="96">
        <v>3</v>
      </c>
      <c r="P41" s="96">
        <v>2.875</v>
      </c>
      <c r="Q41" s="100">
        <v>3.5710000000000002</v>
      </c>
      <c r="R41" s="100">
        <v>8</v>
      </c>
      <c r="S41" s="103" t="s">
        <v>77</v>
      </c>
      <c r="T41" s="100">
        <v>0.2</v>
      </c>
      <c r="U41" s="100">
        <v>8.0000000000000002E-3</v>
      </c>
      <c r="V41" s="100">
        <v>1.5</v>
      </c>
      <c r="W41" s="100">
        <v>0.2</v>
      </c>
      <c r="X41" s="100">
        <v>8.0000000000000002E-3</v>
      </c>
      <c r="Y41" s="100">
        <v>0.15</v>
      </c>
      <c r="Z41" s="104">
        <v>0.47499999999999998</v>
      </c>
      <c r="AA41" s="54">
        <v>2.1999999999999999E-2</v>
      </c>
      <c r="AB41" s="54">
        <v>1.325</v>
      </c>
      <c r="AC41" s="54">
        <v>1.2E-2</v>
      </c>
      <c r="AD41" s="54">
        <v>0.57499999999999996</v>
      </c>
      <c r="AE41" s="54">
        <v>2.8000000000000001E-2</v>
      </c>
      <c r="AF41" s="105">
        <v>9</v>
      </c>
      <c r="AG41" s="54">
        <v>0</v>
      </c>
      <c r="AH41" s="54">
        <v>0</v>
      </c>
      <c r="AI41" s="54">
        <v>0</v>
      </c>
      <c r="AJ41" s="54">
        <v>0</v>
      </c>
      <c r="AK41" s="54">
        <v>0</v>
      </c>
      <c r="AL41" s="54">
        <v>0</v>
      </c>
      <c r="AM41" s="54">
        <v>0</v>
      </c>
      <c r="AN41" s="93">
        <v>0.375</v>
      </c>
      <c r="AO41" s="54">
        <v>1.7999999999999999E-2</v>
      </c>
      <c r="AP41" s="93">
        <v>1.335</v>
      </c>
      <c r="AQ41" s="54">
        <v>1.6E-2</v>
      </c>
      <c r="AR41" s="54">
        <v>0.45</v>
      </c>
      <c r="AS41" s="54">
        <v>2.1999999999999999E-2</v>
      </c>
      <c r="AT41" s="54">
        <v>16</v>
      </c>
      <c r="AU41" s="54"/>
      <c r="AV41" s="83">
        <v>0</v>
      </c>
      <c r="AW41" s="56" t="s">
        <v>65</v>
      </c>
      <c r="AX41" s="83">
        <v>8</v>
      </c>
      <c r="AY41" s="83">
        <v>8</v>
      </c>
      <c r="AZ41" s="56" t="s">
        <v>65</v>
      </c>
      <c r="BA41" s="83">
        <v>8</v>
      </c>
      <c r="BB41" s="83">
        <v>8</v>
      </c>
      <c r="BC41" s="56" t="s">
        <v>65</v>
      </c>
      <c r="BD41" s="83">
        <v>17</v>
      </c>
      <c r="BE41" s="83">
        <v>17</v>
      </c>
      <c r="BF41" s="56" t="s">
        <v>65</v>
      </c>
      <c r="BG41" s="83">
        <v>17</v>
      </c>
      <c r="BH41" s="83">
        <v>17</v>
      </c>
      <c r="BI41" s="56" t="s">
        <v>65</v>
      </c>
      <c r="BJ41" s="83">
        <v>25</v>
      </c>
      <c r="BK41" s="84"/>
      <c r="BL41" s="104">
        <v>0.47499999999999998</v>
      </c>
      <c r="BM41" s="54">
        <v>2.1999999999999999E-2</v>
      </c>
      <c r="BN41" s="54">
        <v>1.325</v>
      </c>
      <c r="BO41" s="54">
        <v>1.2E-2</v>
      </c>
      <c r="BP41" s="54">
        <v>0.57499999999999996</v>
      </c>
      <c r="BQ41" s="105">
        <v>2.8000000000000001E-2</v>
      </c>
      <c r="BR41" s="84"/>
      <c r="BS41" s="107">
        <v>4</v>
      </c>
      <c r="BT41" s="108">
        <v>10</v>
      </c>
      <c r="BU41" s="109">
        <v>1.2</v>
      </c>
      <c r="BV41" s="110">
        <v>8.0000000000000002E-3</v>
      </c>
      <c r="BW41" s="107">
        <v>0.76</v>
      </c>
      <c r="BX41" s="107" t="s">
        <v>83</v>
      </c>
      <c r="BY41" s="111">
        <v>0.1</v>
      </c>
      <c r="BZ41" s="112">
        <v>6.3E-3</v>
      </c>
      <c r="CA41" s="107"/>
      <c r="CB41" s="107">
        <v>6</v>
      </c>
      <c r="CC41" s="168">
        <v>1.3</v>
      </c>
      <c r="CD41" s="108">
        <v>1.55</v>
      </c>
      <c r="CE41" s="109">
        <v>0.77500000000000002</v>
      </c>
      <c r="CF41" s="109">
        <v>1.425</v>
      </c>
      <c r="CG41" s="113">
        <v>2</v>
      </c>
      <c r="CH41" s="113">
        <v>3.38</v>
      </c>
      <c r="CI41" s="114">
        <v>6.7000000000000002E-3</v>
      </c>
    </row>
    <row r="42" spans="1:87" ht="15" x14ac:dyDescent="0.25">
      <c r="A42" s="94" t="s">
        <v>118</v>
      </c>
      <c r="B42" s="95"/>
      <c r="C42" s="95" t="s">
        <v>108</v>
      </c>
      <c r="D42" s="96" t="s">
        <v>69</v>
      </c>
      <c r="E42" s="97">
        <v>30</v>
      </c>
      <c r="F42" s="97">
        <v>2</v>
      </c>
      <c r="G42" s="97" t="s">
        <v>89</v>
      </c>
      <c r="H42" s="96"/>
      <c r="I42" s="97">
        <v>8.5</v>
      </c>
      <c r="J42" s="99" t="s">
        <v>71</v>
      </c>
      <c r="K42" s="97" t="s">
        <v>72</v>
      </c>
      <c r="L42" s="97" t="s">
        <v>73</v>
      </c>
      <c r="M42" s="100"/>
      <c r="N42" s="101">
        <v>0.23</v>
      </c>
      <c r="O42" s="96">
        <v>3</v>
      </c>
      <c r="P42" s="96">
        <v>2.875</v>
      </c>
      <c r="Q42" s="100">
        <v>3.75</v>
      </c>
      <c r="R42" s="100">
        <v>9</v>
      </c>
      <c r="S42" s="103" t="s">
        <v>80</v>
      </c>
      <c r="T42" s="100">
        <v>0.2</v>
      </c>
      <c r="U42" s="100">
        <v>8.0000000000000002E-3</v>
      </c>
      <c r="V42" s="100">
        <v>1.5</v>
      </c>
      <c r="W42" s="100">
        <v>0.2</v>
      </c>
      <c r="X42" s="100">
        <v>8.0000000000000002E-3</v>
      </c>
      <c r="Y42" s="100">
        <v>0.15</v>
      </c>
      <c r="Z42" s="104">
        <v>0.47499999999999998</v>
      </c>
      <c r="AA42" s="54">
        <v>2.1999999999999999E-2</v>
      </c>
      <c r="AB42" s="54">
        <v>1.7050000000000001</v>
      </c>
      <c r="AC42" s="54">
        <v>1.4E-2</v>
      </c>
      <c r="AD42" s="54">
        <v>0.57499999999999996</v>
      </c>
      <c r="AE42" s="54">
        <v>2.8000000000000001E-2</v>
      </c>
      <c r="AF42" s="105">
        <v>12</v>
      </c>
      <c r="AG42" s="54">
        <v>0</v>
      </c>
      <c r="AH42" s="54">
        <v>0</v>
      </c>
      <c r="AI42" s="54">
        <v>0</v>
      </c>
      <c r="AJ42" s="54">
        <v>0</v>
      </c>
      <c r="AK42" s="54">
        <v>0</v>
      </c>
      <c r="AL42" s="54">
        <v>0</v>
      </c>
      <c r="AM42" s="54">
        <v>0</v>
      </c>
      <c r="AN42" s="54">
        <v>0.375</v>
      </c>
      <c r="AO42" s="54">
        <v>1.7999999999999999E-2</v>
      </c>
      <c r="AP42" s="93">
        <v>1.7150000000000001</v>
      </c>
      <c r="AQ42" s="54">
        <v>1.6E-2</v>
      </c>
      <c r="AR42" s="54">
        <v>0.45</v>
      </c>
      <c r="AS42" s="54">
        <v>2.1999999999999999E-2</v>
      </c>
      <c r="AT42" s="54">
        <v>18</v>
      </c>
      <c r="AU42" s="54"/>
      <c r="AV42" s="83">
        <v>0</v>
      </c>
      <c r="AW42" s="56" t="s">
        <v>65</v>
      </c>
      <c r="AX42" s="83">
        <v>9</v>
      </c>
      <c r="AY42" s="83">
        <v>9</v>
      </c>
      <c r="AZ42" s="56" t="s">
        <v>65</v>
      </c>
      <c r="BA42" s="83">
        <v>9</v>
      </c>
      <c r="BB42" s="83">
        <v>9</v>
      </c>
      <c r="BC42" s="56" t="s">
        <v>65</v>
      </c>
      <c r="BD42" s="83">
        <v>21</v>
      </c>
      <c r="BE42" s="83">
        <v>21</v>
      </c>
      <c r="BF42" s="56" t="s">
        <v>65</v>
      </c>
      <c r="BG42" s="83">
        <v>21</v>
      </c>
      <c r="BH42" s="83">
        <v>21</v>
      </c>
      <c r="BI42" s="56" t="s">
        <v>65</v>
      </c>
      <c r="BJ42" s="83">
        <v>30</v>
      </c>
      <c r="BK42" s="84"/>
      <c r="BL42" s="104">
        <v>0.47499999999999998</v>
      </c>
      <c r="BM42" s="54">
        <v>2.1999999999999999E-2</v>
      </c>
      <c r="BN42" s="54">
        <v>1.7050000000000001</v>
      </c>
      <c r="BO42" s="54">
        <v>1.4E-2</v>
      </c>
      <c r="BP42" s="54">
        <v>0.57499999999999996</v>
      </c>
      <c r="BQ42" s="105">
        <v>2.8000000000000001E-2</v>
      </c>
      <c r="BR42" s="84"/>
      <c r="BS42" s="107">
        <v>4</v>
      </c>
      <c r="BT42" s="108">
        <v>10</v>
      </c>
      <c r="BU42" s="109">
        <v>1.2</v>
      </c>
      <c r="BV42" s="110">
        <v>8.0000000000000002E-3</v>
      </c>
      <c r="BW42" s="107">
        <v>0.76</v>
      </c>
      <c r="BX42" s="107" t="s">
        <v>110</v>
      </c>
      <c r="BY42" s="111">
        <v>0.1</v>
      </c>
      <c r="BZ42" s="112">
        <v>6.3E-3</v>
      </c>
      <c r="CA42" s="107"/>
      <c r="CB42" s="107">
        <v>6</v>
      </c>
      <c r="CC42" s="168">
        <v>1.35</v>
      </c>
      <c r="CD42" s="108">
        <v>1.65</v>
      </c>
      <c r="CE42" s="109">
        <v>0.82499999999999996</v>
      </c>
      <c r="CF42" s="109">
        <v>1.45</v>
      </c>
      <c r="CG42" s="113">
        <v>2</v>
      </c>
      <c r="CH42" s="113">
        <v>3.38</v>
      </c>
      <c r="CI42" s="114">
        <v>6.7999999999999996E-3</v>
      </c>
    </row>
    <row r="43" spans="1:87" ht="15" x14ac:dyDescent="0.25">
      <c r="A43" s="94" t="s">
        <v>119</v>
      </c>
      <c r="B43" s="95"/>
      <c r="C43" s="95" t="s">
        <v>108</v>
      </c>
      <c r="D43" s="96" t="s">
        <v>69</v>
      </c>
      <c r="E43" s="97">
        <v>35</v>
      </c>
      <c r="F43" s="97">
        <v>2</v>
      </c>
      <c r="G43" s="97" t="s">
        <v>89</v>
      </c>
      <c r="H43" s="96"/>
      <c r="I43" s="97">
        <v>8.5</v>
      </c>
      <c r="J43" s="99" t="s">
        <v>71</v>
      </c>
      <c r="K43" s="97" t="s">
        <v>72</v>
      </c>
      <c r="L43" s="97" t="s">
        <v>73</v>
      </c>
      <c r="M43" s="100"/>
      <c r="N43" s="101">
        <v>0.23</v>
      </c>
      <c r="O43" s="96">
        <v>3</v>
      </c>
      <c r="P43" s="96">
        <v>2.875</v>
      </c>
      <c r="Q43" s="100">
        <v>3.5</v>
      </c>
      <c r="R43" s="100">
        <v>11</v>
      </c>
      <c r="S43" s="103" t="s">
        <v>80</v>
      </c>
      <c r="T43" s="100">
        <v>0.2</v>
      </c>
      <c r="U43" s="100">
        <v>0.01</v>
      </c>
      <c r="V43" s="100">
        <v>2</v>
      </c>
      <c r="W43" s="100">
        <v>0.2</v>
      </c>
      <c r="X43" s="100">
        <v>0.01</v>
      </c>
      <c r="Y43" s="100">
        <v>0.15</v>
      </c>
      <c r="Z43" s="104">
        <v>0.5</v>
      </c>
      <c r="AA43" s="54">
        <v>2.5000000000000001E-2</v>
      </c>
      <c r="AB43" s="54">
        <v>1.9930000000000001</v>
      </c>
      <c r="AC43" s="54">
        <v>1.6E-2</v>
      </c>
      <c r="AD43" s="54">
        <v>0.57499999999999996</v>
      </c>
      <c r="AE43" s="54">
        <v>3.2000000000000001E-2</v>
      </c>
      <c r="AF43" s="105">
        <v>11</v>
      </c>
      <c r="AG43" s="54">
        <v>0.42499999999999999</v>
      </c>
      <c r="AH43" s="54">
        <v>2.1999999999999999E-2</v>
      </c>
      <c r="AI43" s="54">
        <v>2.0049999999999999</v>
      </c>
      <c r="AJ43" s="54">
        <v>1.6E-2</v>
      </c>
      <c r="AK43" s="54">
        <v>0.5</v>
      </c>
      <c r="AL43" s="54">
        <v>2.8000000000000001E-2</v>
      </c>
      <c r="AM43" s="54">
        <v>12</v>
      </c>
      <c r="AN43" s="54">
        <v>0.375</v>
      </c>
      <c r="AO43" s="54">
        <v>1.7999999999999999E-2</v>
      </c>
      <c r="AP43" s="54">
        <v>2.0099999999999998</v>
      </c>
      <c r="AQ43" s="54">
        <v>1.7999999999999999E-2</v>
      </c>
      <c r="AR43" s="54">
        <v>0.45</v>
      </c>
      <c r="AS43" s="54">
        <v>2.1999999999999999E-2</v>
      </c>
      <c r="AT43" s="54">
        <v>12</v>
      </c>
      <c r="AU43" s="54"/>
      <c r="AV43" s="83">
        <v>0</v>
      </c>
      <c r="AW43" s="56" t="s">
        <v>65</v>
      </c>
      <c r="AX43" s="83">
        <v>6</v>
      </c>
      <c r="AY43" s="83">
        <v>6</v>
      </c>
      <c r="AZ43" s="56" t="s">
        <v>65</v>
      </c>
      <c r="BA43" s="83">
        <v>12</v>
      </c>
      <c r="BB43" s="83">
        <v>12</v>
      </c>
      <c r="BC43" s="56" t="s">
        <v>65</v>
      </c>
      <c r="BD43" s="83">
        <v>23</v>
      </c>
      <c r="BE43" s="83">
        <v>23</v>
      </c>
      <c r="BF43" s="56" t="s">
        <v>65</v>
      </c>
      <c r="BG43" s="83">
        <v>29</v>
      </c>
      <c r="BH43" s="83">
        <v>29</v>
      </c>
      <c r="BI43" s="56" t="s">
        <v>65</v>
      </c>
      <c r="BJ43" s="83">
        <v>35</v>
      </c>
      <c r="BK43" s="84"/>
      <c r="BL43" s="104">
        <v>0.5</v>
      </c>
      <c r="BM43" s="54">
        <v>2.5000000000000001E-2</v>
      </c>
      <c r="BN43" s="54">
        <v>1.9930000000000001</v>
      </c>
      <c r="BO43" s="54">
        <v>1.6E-2</v>
      </c>
      <c r="BP43" s="54">
        <v>0.57499999999999996</v>
      </c>
      <c r="BQ43" s="105">
        <v>3.2000000000000001E-2</v>
      </c>
      <c r="BR43" s="84"/>
      <c r="BS43" s="107">
        <v>4</v>
      </c>
      <c r="BT43" s="108">
        <v>10</v>
      </c>
      <c r="BU43" s="109">
        <v>1.2</v>
      </c>
      <c r="BV43" s="110">
        <v>8.0000000000000002E-3</v>
      </c>
      <c r="BW43" s="107">
        <v>0.81</v>
      </c>
      <c r="BX43" s="107" t="s">
        <v>110</v>
      </c>
      <c r="BY43" s="111">
        <v>0.1</v>
      </c>
      <c r="BZ43" s="112">
        <v>6.0000000000000001E-3</v>
      </c>
      <c r="CA43" s="107"/>
      <c r="CB43" s="107">
        <v>6</v>
      </c>
      <c r="CC43" s="168">
        <v>1.4</v>
      </c>
      <c r="CD43" s="108">
        <v>1.75</v>
      </c>
      <c r="CE43" s="109">
        <v>0.875</v>
      </c>
      <c r="CF43" s="109">
        <v>1.5</v>
      </c>
      <c r="CG43" s="113">
        <v>2</v>
      </c>
      <c r="CH43" s="113">
        <v>3.38</v>
      </c>
      <c r="CI43" s="114">
        <v>7.0000000000000001E-3</v>
      </c>
    </row>
    <row r="44" spans="1:87" ht="15" x14ac:dyDescent="0.25">
      <c r="A44" s="94" t="s">
        <v>120</v>
      </c>
      <c r="B44" s="95"/>
      <c r="C44" s="95" t="s">
        <v>108</v>
      </c>
      <c r="D44" s="96" t="s">
        <v>69</v>
      </c>
      <c r="E44" s="97">
        <v>40</v>
      </c>
      <c r="F44" s="97">
        <v>2</v>
      </c>
      <c r="G44" s="97" t="s">
        <v>89</v>
      </c>
      <c r="H44" s="96"/>
      <c r="I44" s="97">
        <v>8.5</v>
      </c>
      <c r="J44" s="99" t="s">
        <v>71</v>
      </c>
      <c r="K44" s="97" t="s">
        <v>72</v>
      </c>
      <c r="L44" s="97" t="s">
        <v>73</v>
      </c>
      <c r="M44" s="100"/>
      <c r="N44" s="101">
        <v>0.23</v>
      </c>
      <c r="O44" s="96">
        <v>3</v>
      </c>
      <c r="P44" s="96">
        <v>2.875</v>
      </c>
      <c r="Q44" s="100">
        <v>4</v>
      </c>
      <c r="R44" s="100">
        <v>11</v>
      </c>
      <c r="S44" s="103" t="s">
        <v>85</v>
      </c>
      <c r="T44" s="100">
        <v>0.2</v>
      </c>
      <c r="U44" s="100">
        <v>8.0000000000000002E-3</v>
      </c>
      <c r="V44" s="100">
        <v>2</v>
      </c>
      <c r="W44" s="100">
        <v>0.2</v>
      </c>
      <c r="X44" s="100">
        <v>0.01</v>
      </c>
      <c r="Y44" s="100">
        <v>0.15</v>
      </c>
      <c r="Z44" s="104">
        <v>0.5</v>
      </c>
      <c r="AA44" s="54">
        <v>2.5000000000000001E-2</v>
      </c>
      <c r="AB44" s="54">
        <v>2.2930000000000001</v>
      </c>
      <c r="AC44" s="54">
        <v>1.7999999999999999E-2</v>
      </c>
      <c r="AD44" s="54">
        <v>0.57499999999999996</v>
      </c>
      <c r="AE44" s="54">
        <v>3.2000000000000001E-2</v>
      </c>
      <c r="AF44" s="105">
        <v>12</v>
      </c>
      <c r="AG44" s="54">
        <v>0.42499999999999999</v>
      </c>
      <c r="AH44" s="54">
        <v>2.5000000000000001E-2</v>
      </c>
      <c r="AI44" s="54">
        <v>2.2930000000000001</v>
      </c>
      <c r="AJ44" s="54">
        <v>1.7999999999999999E-2</v>
      </c>
      <c r="AK44" s="54">
        <v>0.5</v>
      </c>
      <c r="AL44" s="54">
        <v>3.2000000000000001E-2</v>
      </c>
      <c r="AM44" s="54">
        <v>14</v>
      </c>
      <c r="AN44" s="54">
        <v>0.375</v>
      </c>
      <c r="AO44" s="54">
        <v>1.7999999999999999E-2</v>
      </c>
      <c r="AP44" s="54">
        <v>2.31</v>
      </c>
      <c r="AQ44" s="54">
        <v>0.02</v>
      </c>
      <c r="AR44" s="54">
        <v>0.45</v>
      </c>
      <c r="AS44" s="54">
        <v>2.1999999999999999E-2</v>
      </c>
      <c r="AT44" s="54">
        <v>14</v>
      </c>
      <c r="AU44" s="54"/>
      <c r="AV44" s="83">
        <v>0</v>
      </c>
      <c r="AW44" s="56" t="s">
        <v>65</v>
      </c>
      <c r="AX44" s="83">
        <v>7</v>
      </c>
      <c r="AY44" s="83">
        <v>7</v>
      </c>
      <c r="AZ44" s="56" t="s">
        <v>65</v>
      </c>
      <c r="BA44" s="83">
        <v>14</v>
      </c>
      <c r="BB44" s="83">
        <v>14</v>
      </c>
      <c r="BC44" s="56" t="s">
        <v>65</v>
      </c>
      <c r="BD44" s="83">
        <v>26</v>
      </c>
      <c r="BE44" s="83">
        <v>26</v>
      </c>
      <c r="BF44" s="56" t="s">
        <v>65</v>
      </c>
      <c r="BG44" s="83">
        <v>33</v>
      </c>
      <c r="BH44" s="83">
        <v>33</v>
      </c>
      <c r="BI44" s="56" t="s">
        <v>65</v>
      </c>
      <c r="BJ44" s="83">
        <v>40</v>
      </c>
      <c r="BK44" s="84"/>
      <c r="BL44" s="104">
        <v>0.5</v>
      </c>
      <c r="BM44" s="54">
        <v>2.5000000000000001E-2</v>
      </c>
      <c r="BN44" s="54">
        <v>2.2930000000000001</v>
      </c>
      <c r="BO44" s="54">
        <v>1.7999999999999999E-2</v>
      </c>
      <c r="BP44" s="54">
        <v>0.57499999999999996</v>
      </c>
      <c r="BQ44" s="105">
        <v>3.2000000000000001E-2</v>
      </c>
      <c r="BR44" s="84"/>
      <c r="BS44" s="107">
        <v>5</v>
      </c>
      <c r="BT44" s="108">
        <v>10</v>
      </c>
      <c r="BU44" s="109">
        <v>1.2</v>
      </c>
      <c r="BV44" s="110">
        <v>8.0000000000000002E-3</v>
      </c>
      <c r="BW44" s="107">
        <v>0.69</v>
      </c>
      <c r="BX44" s="107" t="s">
        <v>110</v>
      </c>
      <c r="BY44" s="111">
        <v>0.1</v>
      </c>
      <c r="BZ44" s="112">
        <v>7.0000000000000001E-3</v>
      </c>
      <c r="CA44" s="107"/>
      <c r="CB44" s="107">
        <v>6</v>
      </c>
      <c r="CC44" s="168">
        <v>1.45</v>
      </c>
      <c r="CD44" s="108">
        <v>1.85</v>
      </c>
      <c r="CE44" s="109">
        <v>0.92500000000000004</v>
      </c>
      <c r="CF44" s="109">
        <v>1.55</v>
      </c>
      <c r="CG44" s="113">
        <v>2</v>
      </c>
      <c r="CH44" s="113">
        <v>3.38</v>
      </c>
      <c r="CI44" s="114">
        <v>6.7000000000000002E-3</v>
      </c>
    </row>
    <row r="45" spans="1:87" ht="15" x14ac:dyDescent="0.25">
      <c r="A45" s="94" t="s">
        <v>121</v>
      </c>
      <c r="B45" s="95"/>
      <c r="C45" s="95" t="s">
        <v>108</v>
      </c>
      <c r="D45" s="96" t="s">
        <v>69</v>
      </c>
      <c r="E45" s="97">
        <v>45</v>
      </c>
      <c r="F45" s="97">
        <v>2</v>
      </c>
      <c r="G45" s="97" t="s">
        <v>89</v>
      </c>
      <c r="H45" s="96"/>
      <c r="I45" s="97">
        <v>8.5</v>
      </c>
      <c r="J45" s="99" t="s">
        <v>71</v>
      </c>
      <c r="K45" s="97" t="s">
        <v>72</v>
      </c>
      <c r="L45" s="97" t="s">
        <v>73</v>
      </c>
      <c r="M45" s="100"/>
      <c r="N45" s="101">
        <v>0.23</v>
      </c>
      <c r="O45" s="96">
        <v>3</v>
      </c>
      <c r="P45" s="96">
        <v>2.875</v>
      </c>
      <c r="Q45" s="100">
        <v>3.75</v>
      </c>
      <c r="R45" s="100">
        <v>13</v>
      </c>
      <c r="S45" s="103" t="s">
        <v>87</v>
      </c>
      <c r="T45" s="100">
        <v>0.2</v>
      </c>
      <c r="U45" s="100">
        <v>0.01</v>
      </c>
      <c r="V45" s="100">
        <v>2</v>
      </c>
      <c r="W45" s="100">
        <v>0.2</v>
      </c>
      <c r="X45" s="100">
        <v>0.01</v>
      </c>
      <c r="Y45" s="100">
        <v>0.15</v>
      </c>
      <c r="Z45" s="104">
        <v>0.5</v>
      </c>
      <c r="AA45" s="54">
        <v>2.5000000000000001E-2</v>
      </c>
      <c r="AB45" s="54">
        <v>2.593</v>
      </c>
      <c r="AC45" s="54">
        <v>0.02</v>
      </c>
      <c r="AD45" s="54">
        <v>0.57499999999999996</v>
      </c>
      <c r="AE45" s="54">
        <v>3.2000000000000001E-2</v>
      </c>
      <c r="AF45" s="105">
        <v>12</v>
      </c>
      <c r="AG45" s="54">
        <v>0.42499999999999999</v>
      </c>
      <c r="AH45" s="54">
        <v>2.5000000000000001E-2</v>
      </c>
      <c r="AI45" s="54">
        <v>2.593</v>
      </c>
      <c r="AJ45" s="54">
        <v>0.02</v>
      </c>
      <c r="AK45" s="54">
        <v>0.5</v>
      </c>
      <c r="AL45" s="54">
        <v>3.2000000000000001E-2</v>
      </c>
      <c r="AM45" s="54">
        <v>21</v>
      </c>
      <c r="AN45" s="54">
        <v>0.375</v>
      </c>
      <c r="AO45" s="54">
        <v>1.7999999999999999E-2</v>
      </c>
      <c r="AP45" s="54">
        <v>2.61</v>
      </c>
      <c r="AQ45" s="54">
        <v>2.1999999999999999E-2</v>
      </c>
      <c r="AR45" s="54">
        <v>0.45</v>
      </c>
      <c r="AS45" s="54">
        <v>2.1999999999999999E-2</v>
      </c>
      <c r="AT45" s="54">
        <v>12</v>
      </c>
      <c r="AU45" s="54"/>
      <c r="AV45" s="83">
        <v>0</v>
      </c>
      <c r="AW45" s="56" t="s">
        <v>65</v>
      </c>
      <c r="AX45" s="83">
        <v>6</v>
      </c>
      <c r="AY45" s="83">
        <v>6</v>
      </c>
      <c r="AZ45" s="56" t="s">
        <v>65</v>
      </c>
      <c r="BA45" s="83">
        <v>16.5</v>
      </c>
      <c r="BB45" s="83">
        <v>16.5</v>
      </c>
      <c r="BC45" s="56" t="s">
        <v>65</v>
      </c>
      <c r="BD45" s="83">
        <v>28.5</v>
      </c>
      <c r="BE45" s="83">
        <v>28.5</v>
      </c>
      <c r="BF45" s="56" t="s">
        <v>65</v>
      </c>
      <c r="BG45" s="83">
        <v>39</v>
      </c>
      <c r="BH45" s="83">
        <v>39</v>
      </c>
      <c r="BI45" s="56" t="s">
        <v>65</v>
      </c>
      <c r="BJ45" s="83">
        <v>45</v>
      </c>
      <c r="BK45" s="84"/>
      <c r="BL45" s="104">
        <v>0.5</v>
      </c>
      <c r="BM45" s="54">
        <v>2.5000000000000001E-2</v>
      </c>
      <c r="BN45" s="54">
        <v>2.593</v>
      </c>
      <c r="BO45" s="54">
        <v>0.02</v>
      </c>
      <c r="BP45" s="54">
        <v>0.57499999999999996</v>
      </c>
      <c r="BQ45" s="105">
        <v>3.2000000000000001E-2</v>
      </c>
      <c r="BR45" s="84"/>
      <c r="BS45" s="107">
        <v>5</v>
      </c>
      <c r="BT45" s="108">
        <v>10</v>
      </c>
      <c r="BU45" s="109">
        <v>1.2</v>
      </c>
      <c r="BV45" s="110">
        <v>8.0000000000000002E-3</v>
      </c>
      <c r="BW45" s="107">
        <v>0.73499999999999999</v>
      </c>
      <c r="BX45" s="107" t="s">
        <v>110</v>
      </c>
      <c r="BY45" s="111">
        <v>0.1</v>
      </c>
      <c r="BZ45" s="112">
        <v>6.6E-3</v>
      </c>
      <c r="CA45" s="107"/>
      <c r="CB45" s="107">
        <v>6</v>
      </c>
      <c r="CC45" s="168">
        <v>1.5</v>
      </c>
      <c r="CD45" s="108">
        <v>1.95</v>
      </c>
      <c r="CE45" s="109">
        <v>0.97499999999999998</v>
      </c>
      <c r="CF45" s="109">
        <v>1.6</v>
      </c>
      <c r="CG45" s="113">
        <v>2</v>
      </c>
      <c r="CH45" s="113">
        <v>3.38</v>
      </c>
      <c r="CI45" s="114">
        <v>6.4000000000000003E-3</v>
      </c>
    </row>
    <row r="46" spans="1:87" ht="15" x14ac:dyDescent="0.25">
      <c r="A46" s="169" t="s">
        <v>122</v>
      </c>
      <c r="B46" s="170"/>
      <c r="C46" s="170" t="s">
        <v>108</v>
      </c>
      <c r="D46" s="171" t="s">
        <v>69</v>
      </c>
      <c r="E46" s="172">
        <v>20</v>
      </c>
      <c r="F46" s="172">
        <v>3</v>
      </c>
      <c r="G46" s="172" t="s">
        <v>70</v>
      </c>
      <c r="H46" s="171"/>
      <c r="I46" s="172">
        <v>13.5</v>
      </c>
      <c r="J46" s="173" t="s">
        <v>71</v>
      </c>
      <c r="K46" s="172" t="s">
        <v>72</v>
      </c>
      <c r="L46" s="172" t="s">
        <v>73</v>
      </c>
      <c r="M46" s="174"/>
      <c r="N46" s="175">
        <v>0.23</v>
      </c>
      <c r="O46" s="171">
        <v>5</v>
      </c>
      <c r="P46" s="171">
        <v>2.75</v>
      </c>
      <c r="Q46" s="174">
        <v>4</v>
      </c>
      <c r="R46" s="174">
        <v>6</v>
      </c>
      <c r="S46" s="176" t="s">
        <v>74</v>
      </c>
      <c r="T46" s="174">
        <v>0.2</v>
      </c>
      <c r="U46" s="174">
        <v>1.4999999999999999E-2</v>
      </c>
      <c r="V46" s="174">
        <v>1.5</v>
      </c>
      <c r="W46" s="174">
        <v>0.2</v>
      </c>
      <c r="X46" s="174">
        <v>1.4999999999999999E-2</v>
      </c>
      <c r="Y46" s="174">
        <v>0.15</v>
      </c>
      <c r="Z46" s="177">
        <v>0.4</v>
      </c>
      <c r="AA46" s="178">
        <v>0.02</v>
      </c>
      <c r="AB46" s="178">
        <v>1.0049999999999999</v>
      </c>
      <c r="AC46" s="178">
        <v>8.0000000000000002E-3</v>
      </c>
      <c r="AD46" s="178">
        <v>0.5</v>
      </c>
      <c r="AE46" s="178">
        <v>2.5000000000000001E-2</v>
      </c>
      <c r="AF46" s="179">
        <v>8</v>
      </c>
      <c r="AG46" s="178">
        <v>0</v>
      </c>
      <c r="AH46" s="178">
        <v>0</v>
      </c>
      <c r="AI46" s="178">
        <v>0</v>
      </c>
      <c r="AJ46" s="178">
        <v>0</v>
      </c>
      <c r="AK46" s="178">
        <v>0</v>
      </c>
      <c r="AL46" s="178">
        <v>0</v>
      </c>
      <c r="AM46" s="178">
        <v>0</v>
      </c>
      <c r="AN46" s="178">
        <v>0.375</v>
      </c>
      <c r="AO46" s="178">
        <v>1.6E-2</v>
      </c>
      <c r="AP46" s="178">
        <v>1.014</v>
      </c>
      <c r="AQ46" s="178">
        <v>0.01</v>
      </c>
      <c r="AR46" s="178">
        <v>0.42499999999999999</v>
      </c>
      <c r="AS46" s="178">
        <v>0.02</v>
      </c>
      <c r="AT46" s="178">
        <v>12</v>
      </c>
      <c r="AU46" s="178"/>
      <c r="AV46" s="83">
        <v>0</v>
      </c>
      <c r="AW46" s="56" t="s">
        <v>65</v>
      </c>
      <c r="AX46" s="83">
        <v>6</v>
      </c>
      <c r="AY46" s="83">
        <v>6</v>
      </c>
      <c r="AZ46" s="56" t="s">
        <v>65</v>
      </c>
      <c r="BA46" s="83">
        <v>6</v>
      </c>
      <c r="BB46" s="83">
        <v>6</v>
      </c>
      <c r="BC46" s="56" t="s">
        <v>65</v>
      </c>
      <c r="BD46" s="83">
        <v>14</v>
      </c>
      <c r="BE46" s="83">
        <v>14</v>
      </c>
      <c r="BF46" s="56" t="s">
        <v>65</v>
      </c>
      <c r="BG46" s="83">
        <v>14</v>
      </c>
      <c r="BH46" s="83">
        <v>14</v>
      </c>
      <c r="BI46" s="56" t="s">
        <v>65</v>
      </c>
      <c r="BJ46" s="83">
        <v>20</v>
      </c>
      <c r="BK46" s="84"/>
      <c r="BL46" s="177">
        <v>0.4</v>
      </c>
      <c r="BM46" s="178">
        <v>0.02</v>
      </c>
      <c r="BN46" s="178">
        <v>1.0049999999999999</v>
      </c>
      <c r="BO46" s="178">
        <v>8.0000000000000002E-3</v>
      </c>
      <c r="BP46" s="178">
        <v>0.5</v>
      </c>
      <c r="BQ46" s="179">
        <v>2.5000000000000001E-2</v>
      </c>
      <c r="BR46" s="180"/>
      <c r="BS46" s="181">
        <v>4</v>
      </c>
      <c r="BT46" s="182">
        <v>10</v>
      </c>
      <c r="BU46" s="183">
        <v>1</v>
      </c>
      <c r="BV46" s="184">
        <v>8.0000000000000002E-3</v>
      </c>
      <c r="BW46" s="181">
        <v>0.75</v>
      </c>
      <c r="BX46" s="181" t="s">
        <v>110</v>
      </c>
      <c r="BY46" s="181">
        <v>0.1</v>
      </c>
      <c r="BZ46" s="185">
        <v>6.4000000000000003E-3</v>
      </c>
      <c r="CA46" s="181"/>
      <c r="CB46" s="181">
        <v>6</v>
      </c>
      <c r="CC46" s="182">
        <v>1.7</v>
      </c>
      <c r="CD46" s="182">
        <v>1.6</v>
      </c>
      <c r="CE46" s="183">
        <v>0.8</v>
      </c>
      <c r="CF46" s="183">
        <v>1.75</v>
      </c>
      <c r="CG46" s="180">
        <v>2</v>
      </c>
      <c r="CH46" s="180">
        <v>5</v>
      </c>
      <c r="CI46" s="186">
        <v>1.1599999999999999E-2</v>
      </c>
    </row>
    <row r="47" spans="1:87" ht="15" x14ac:dyDescent="0.25">
      <c r="A47" s="169" t="s">
        <v>123</v>
      </c>
      <c r="B47" s="170"/>
      <c r="C47" s="170" t="s">
        <v>108</v>
      </c>
      <c r="D47" s="171" t="s">
        <v>69</v>
      </c>
      <c r="E47" s="172">
        <v>25</v>
      </c>
      <c r="F47" s="172">
        <v>3</v>
      </c>
      <c r="G47" s="172" t="s">
        <v>70</v>
      </c>
      <c r="H47" s="171"/>
      <c r="I47" s="172">
        <v>13.5</v>
      </c>
      <c r="J47" s="173" t="s">
        <v>71</v>
      </c>
      <c r="K47" s="172" t="s">
        <v>72</v>
      </c>
      <c r="L47" s="172" t="s">
        <v>73</v>
      </c>
      <c r="M47" s="174"/>
      <c r="N47" s="175">
        <v>0.23</v>
      </c>
      <c r="O47" s="171">
        <v>5</v>
      </c>
      <c r="P47" s="171">
        <v>2.75</v>
      </c>
      <c r="Q47" s="174">
        <v>3.5710000000000002</v>
      </c>
      <c r="R47" s="174">
        <v>8</v>
      </c>
      <c r="S47" s="176" t="s">
        <v>77</v>
      </c>
      <c r="T47" s="174">
        <v>0.2</v>
      </c>
      <c r="U47" s="174">
        <v>1.4999999999999999E-2</v>
      </c>
      <c r="V47" s="174">
        <v>1.5</v>
      </c>
      <c r="W47" s="174">
        <v>0.2</v>
      </c>
      <c r="X47" s="174">
        <v>1.4999999999999999E-2</v>
      </c>
      <c r="Y47" s="174">
        <v>0.15</v>
      </c>
      <c r="Z47" s="177">
        <v>0.4</v>
      </c>
      <c r="AA47" s="178">
        <v>0.02</v>
      </c>
      <c r="AB47" s="178">
        <v>1.33</v>
      </c>
      <c r="AC47" s="178">
        <v>8.0000000000000002E-3</v>
      </c>
      <c r="AD47" s="178">
        <v>0.5</v>
      </c>
      <c r="AE47" s="178">
        <v>2.5000000000000001E-2</v>
      </c>
      <c r="AF47" s="179">
        <v>9</v>
      </c>
      <c r="AG47" s="178">
        <v>0</v>
      </c>
      <c r="AH47" s="178">
        <v>0</v>
      </c>
      <c r="AI47" s="178">
        <v>0</v>
      </c>
      <c r="AJ47" s="178">
        <v>0</v>
      </c>
      <c r="AK47" s="178">
        <v>0</v>
      </c>
      <c r="AL47" s="178">
        <v>0</v>
      </c>
      <c r="AM47" s="178">
        <v>0</v>
      </c>
      <c r="AN47" s="178">
        <v>0.375</v>
      </c>
      <c r="AO47" s="178">
        <v>1.6E-2</v>
      </c>
      <c r="AP47" s="178">
        <v>1.339</v>
      </c>
      <c r="AQ47" s="178">
        <v>1.2E-2</v>
      </c>
      <c r="AR47" s="178">
        <v>0.42499999999999999</v>
      </c>
      <c r="AS47" s="178">
        <v>0.02</v>
      </c>
      <c r="AT47" s="178">
        <v>16</v>
      </c>
      <c r="AU47" s="178"/>
      <c r="AV47" s="83">
        <v>0</v>
      </c>
      <c r="AW47" s="56" t="s">
        <v>65</v>
      </c>
      <c r="AX47" s="83">
        <v>8</v>
      </c>
      <c r="AY47" s="83">
        <v>8</v>
      </c>
      <c r="AZ47" s="56" t="s">
        <v>65</v>
      </c>
      <c r="BA47" s="83">
        <v>8</v>
      </c>
      <c r="BB47" s="83">
        <v>8</v>
      </c>
      <c r="BC47" s="56" t="s">
        <v>65</v>
      </c>
      <c r="BD47" s="83">
        <v>17</v>
      </c>
      <c r="BE47" s="83">
        <v>17</v>
      </c>
      <c r="BF47" s="56" t="s">
        <v>65</v>
      </c>
      <c r="BG47" s="83">
        <v>17</v>
      </c>
      <c r="BH47" s="83">
        <v>17</v>
      </c>
      <c r="BI47" s="56" t="s">
        <v>65</v>
      </c>
      <c r="BJ47" s="83">
        <v>25</v>
      </c>
      <c r="BK47" s="84"/>
      <c r="BL47" s="177">
        <v>0.4</v>
      </c>
      <c r="BM47" s="178">
        <v>0.02</v>
      </c>
      <c r="BN47" s="178">
        <v>1.33</v>
      </c>
      <c r="BO47" s="178">
        <v>8.0000000000000002E-3</v>
      </c>
      <c r="BP47" s="178">
        <v>0.5</v>
      </c>
      <c r="BQ47" s="179">
        <v>2.5000000000000001E-2</v>
      </c>
      <c r="BR47" s="180"/>
      <c r="BS47" s="181">
        <v>4</v>
      </c>
      <c r="BT47" s="182">
        <v>10</v>
      </c>
      <c r="BU47" s="183">
        <v>1.2</v>
      </c>
      <c r="BV47" s="184">
        <v>8.0000000000000002E-3</v>
      </c>
      <c r="BW47" s="181">
        <v>1</v>
      </c>
      <c r="BX47" s="181" t="s">
        <v>110</v>
      </c>
      <c r="BY47" s="181">
        <v>0.1</v>
      </c>
      <c r="BZ47" s="185">
        <v>4.7999999999999996E-3</v>
      </c>
      <c r="CA47" s="181"/>
      <c r="CB47" s="181">
        <v>6</v>
      </c>
      <c r="CC47" s="182">
        <v>1.75</v>
      </c>
      <c r="CD47" s="182">
        <v>1.7</v>
      </c>
      <c r="CE47" s="183">
        <v>0.85</v>
      </c>
      <c r="CF47" s="183">
        <v>1.8</v>
      </c>
      <c r="CG47" s="180">
        <v>2</v>
      </c>
      <c r="CH47" s="180">
        <v>5</v>
      </c>
      <c r="CI47" s="186">
        <v>1.35E-2</v>
      </c>
    </row>
    <row r="48" spans="1:87" ht="15" x14ac:dyDescent="0.25">
      <c r="A48" s="169" t="s">
        <v>124</v>
      </c>
      <c r="B48" s="170"/>
      <c r="C48" s="170" t="s">
        <v>108</v>
      </c>
      <c r="D48" s="171" t="s">
        <v>69</v>
      </c>
      <c r="E48" s="172">
        <v>30</v>
      </c>
      <c r="F48" s="172">
        <v>3</v>
      </c>
      <c r="G48" s="172" t="s">
        <v>70</v>
      </c>
      <c r="H48" s="171"/>
      <c r="I48" s="172">
        <v>13.5</v>
      </c>
      <c r="J48" s="173" t="s">
        <v>71</v>
      </c>
      <c r="K48" s="172" t="s">
        <v>72</v>
      </c>
      <c r="L48" s="172" t="s">
        <v>73</v>
      </c>
      <c r="M48" s="174"/>
      <c r="N48" s="175">
        <v>0.23</v>
      </c>
      <c r="O48" s="171">
        <v>5</v>
      </c>
      <c r="P48" s="171">
        <v>2.75</v>
      </c>
      <c r="Q48" s="174">
        <v>3.75</v>
      </c>
      <c r="R48" s="174">
        <v>9</v>
      </c>
      <c r="S48" s="176" t="s">
        <v>80</v>
      </c>
      <c r="T48" s="174">
        <v>0.2</v>
      </c>
      <c r="U48" s="174">
        <v>1.4999999999999999E-2</v>
      </c>
      <c r="V48" s="174">
        <v>1.5</v>
      </c>
      <c r="W48" s="174">
        <v>0.2</v>
      </c>
      <c r="X48" s="174">
        <v>1.4999999999999999E-2</v>
      </c>
      <c r="Y48" s="174">
        <v>0.15</v>
      </c>
      <c r="Z48" s="177">
        <v>0.4</v>
      </c>
      <c r="AA48" s="178">
        <v>0.02</v>
      </c>
      <c r="AB48" s="178">
        <v>1.7050000000000001</v>
      </c>
      <c r="AC48" s="178">
        <v>0.01</v>
      </c>
      <c r="AD48" s="178">
        <v>0.5</v>
      </c>
      <c r="AE48" s="178">
        <v>2.5000000000000001E-2</v>
      </c>
      <c r="AF48" s="179">
        <v>12</v>
      </c>
      <c r="AG48" s="178">
        <v>0</v>
      </c>
      <c r="AH48" s="178">
        <v>0</v>
      </c>
      <c r="AI48" s="178">
        <v>0</v>
      </c>
      <c r="AJ48" s="178">
        <v>0</v>
      </c>
      <c r="AK48" s="178">
        <v>0</v>
      </c>
      <c r="AL48" s="178">
        <v>0</v>
      </c>
      <c r="AM48" s="178">
        <v>0</v>
      </c>
      <c r="AN48" s="178">
        <v>0.35</v>
      </c>
      <c r="AO48" s="178">
        <v>1.6E-2</v>
      </c>
      <c r="AP48" s="178">
        <v>1.714</v>
      </c>
      <c r="AQ48" s="178">
        <v>1.4E-2</v>
      </c>
      <c r="AR48" s="178">
        <v>0.4</v>
      </c>
      <c r="AS48" s="178">
        <v>0.02</v>
      </c>
      <c r="AT48" s="178">
        <v>18</v>
      </c>
      <c r="AU48" s="178"/>
      <c r="AV48" s="83">
        <v>0</v>
      </c>
      <c r="AW48" s="56" t="s">
        <v>65</v>
      </c>
      <c r="AX48" s="83">
        <v>9</v>
      </c>
      <c r="AY48" s="83">
        <v>9</v>
      </c>
      <c r="AZ48" s="56" t="s">
        <v>65</v>
      </c>
      <c r="BA48" s="83">
        <v>9</v>
      </c>
      <c r="BB48" s="83">
        <v>9</v>
      </c>
      <c r="BC48" s="56" t="s">
        <v>65</v>
      </c>
      <c r="BD48" s="83">
        <v>21</v>
      </c>
      <c r="BE48" s="83">
        <v>21</v>
      </c>
      <c r="BF48" s="56" t="s">
        <v>65</v>
      </c>
      <c r="BG48" s="83">
        <v>21</v>
      </c>
      <c r="BH48" s="83">
        <v>21</v>
      </c>
      <c r="BI48" s="56" t="s">
        <v>65</v>
      </c>
      <c r="BJ48" s="83">
        <v>30</v>
      </c>
      <c r="BK48" s="84"/>
      <c r="BL48" s="177">
        <v>0.4</v>
      </c>
      <c r="BM48" s="178">
        <v>0.02</v>
      </c>
      <c r="BN48" s="178">
        <v>1.7050000000000001</v>
      </c>
      <c r="BO48" s="178">
        <v>0.01</v>
      </c>
      <c r="BP48" s="178">
        <v>0.5</v>
      </c>
      <c r="BQ48" s="179">
        <v>2.5000000000000001E-2</v>
      </c>
      <c r="BR48" s="180"/>
      <c r="BS48" s="181">
        <v>5</v>
      </c>
      <c r="BT48" s="182">
        <v>10</v>
      </c>
      <c r="BU48" s="183">
        <v>1.2</v>
      </c>
      <c r="BV48" s="184">
        <v>8.0000000000000002E-3</v>
      </c>
      <c r="BW48" s="181">
        <v>0.72499999999999998</v>
      </c>
      <c r="BX48" s="181" t="s">
        <v>110</v>
      </c>
      <c r="BY48" s="181">
        <v>0.1</v>
      </c>
      <c r="BZ48" s="185">
        <v>6.7000000000000002E-3</v>
      </c>
      <c r="CA48" s="181"/>
      <c r="CB48" s="181">
        <v>6</v>
      </c>
      <c r="CC48" s="182">
        <v>1.8</v>
      </c>
      <c r="CD48" s="182">
        <v>1.8</v>
      </c>
      <c r="CE48" s="183">
        <v>0.9</v>
      </c>
      <c r="CF48" s="183">
        <v>1.85</v>
      </c>
      <c r="CG48" s="180">
        <v>2</v>
      </c>
      <c r="CH48" s="180">
        <v>5</v>
      </c>
      <c r="CI48" s="186">
        <v>1.12E-2</v>
      </c>
    </row>
    <row r="49" spans="1:87" ht="15" x14ac:dyDescent="0.25">
      <c r="A49" s="169" t="s">
        <v>125</v>
      </c>
      <c r="B49" s="170"/>
      <c r="C49" s="170" t="s">
        <v>108</v>
      </c>
      <c r="D49" s="171" t="s">
        <v>69</v>
      </c>
      <c r="E49" s="172">
        <v>35</v>
      </c>
      <c r="F49" s="172">
        <v>3</v>
      </c>
      <c r="G49" s="172" t="s">
        <v>70</v>
      </c>
      <c r="H49" s="171"/>
      <c r="I49" s="172">
        <v>13.5</v>
      </c>
      <c r="J49" s="173" t="s">
        <v>71</v>
      </c>
      <c r="K49" s="172" t="s">
        <v>72</v>
      </c>
      <c r="L49" s="172" t="s">
        <v>73</v>
      </c>
      <c r="M49" s="174"/>
      <c r="N49" s="175">
        <v>0.23</v>
      </c>
      <c r="O49" s="171">
        <v>5</v>
      </c>
      <c r="P49" s="171">
        <v>2.75</v>
      </c>
      <c r="Q49" s="174">
        <v>3.5</v>
      </c>
      <c r="R49" s="174">
        <v>11</v>
      </c>
      <c r="S49" s="176" t="s">
        <v>80</v>
      </c>
      <c r="T49" s="174">
        <v>0.2</v>
      </c>
      <c r="U49" s="174">
        <v>0.01</v>
      </c>
      <c r="V49" s="174">
        <v>1.5</v>
      </c>
      <c r="W49" s="174">
        <v>0.2</v>
      </c>
      <c r="X49" s="174">
        <v>0.01</v>
      </c>
      <c r="Y49" s="174">
        <v>0.15</v>
      </c>
      <c r="Z49" s="187">
        <v>0.45</v>
      </c>
      <c r="AA49" s="178">
        <v>0.02</v>
      </c>
      <c r="AB49" s="178">
        <v>2.0049999999999999</v>
      </c>
      <c r="AC49" s="178">
        <v>1.2E-2</v>
      </c>
      <c r="AD49" s="106">
        <v>0.55000000000000004</v>
      </c>
      <c r="AE49" s="178">
        <v>2.5000000000000001E-2</v>
      </c>
      <c r="AF49" s="179">
        <v>11</v>
      </c>
      <c r="AG49" s="178">
        <v>0.4</v>
      </c>
      <c r="AH49" s="178">
        <v>0.02</v>
      </c>
      <c r="AI49" s="178">
        <v>2.0049999999999999</v>
      </c>
      <c r="AJ49" s="178">
        <v>1.2E-2</v>
      </c>
      <c r="AK49" s="178">
        <v>0.47499999999999998</v>
      </c>
      <c r="AL49" s="178">
        <v>2.5000000000000001E-2</v>
      </c>
      <c r="AM49" s="178">
        <v>12</v>
      </c>
      <c r="AN49" s="178">
        <v>0.35</v>
      </c>
      <c r="AO49" s="178">
        <v>1.6E-2</v>
      </c>
      <c r="AP49" s="178">
        <v>2.0139999999999998</v>
      </c>
      <c r="AQ49" s="178">
        <v>1.4E-2</v>
      </c>
      <c r="AR49" s="178">
        <v>0.4</v>
      </c>
      <c r="AS49" s="178">
        <v>0.02</v>
      </c>
      <c r="AT49" s="178">
        <v>12</v>
      </c>
      <c r="AU49" s="178"/>
      <c r="AV49" s="83">
        <v>0</v>
      </c>
      <c r="AW49" s="56" t="s">
        <v>65</v>
      </c>
      <c r="AX49" s="83">
        <v>6</v>
      </c>
      <c r="AY49" s="83">
        <v>6</v>
      </c>
      <c r="AZ49" s="56" t="s">
        <v>65</v>
      </c>
      <c r="BA49" s="83">
        <v>12</v>
      </c>
      <c r="BB49" s="83">
        <v>12</v>
      </c>
      <c r="BC49" s="56" t="s">
        <v>65</v>
      </c>
      <c r="BD49" s="83">
        <v>23</v>
      </c>
      <c r="BE49" s="83">
        <v>23</v>
      </c>
      <c r="BF49" s="56" t="s">
        <v>65</v>
      </c>
      <c r="BG49" s="83">
        <v>29</v>
      </c>
      <c r="BH49" s="83">
        <v>29</v>
      </c>
      <c r="BI49" s="56" t="s">
        <v>65</v>
      </c>
      <c r="BJ49" s="83">
        <v>35</v>
      </c>
      <c r="BK49" s="84"/>
      <c r="BL49" s="187">
        <v>0.45</v>
      </c>
      <c r="BM49" s="178">
        <v>0.02</v>
      </c>
      <c r="BN49" s="178">
        <v>2.0049999999999999</v>
      </c>
      <c r="BO49" s="178">
        <v>1.2E-2</v>
      </c>
      <c r="BP49" s="106">
        <v>0.55000000000000004</v>
      </c>
      <c r="BQ49" s="179">
        <v>2.5000000000000001E-2</v>
      </c>
      <c r="BR49" s="180"/>
      <c r="BS49" s="181">
        <v>5</v>
      </c>
      <c r="BT49" s="182">
        <v>10</v>
      </c>
      <c r="BU49" s="183">
        <v>1.2</v>
      </c>
      <c r="BV49" s="184">
        <v>8.0000000000000002E-3</v>
      </c>
      <c r="BW49" s="181">
        <v>0.77500000000000002</v>
      </c>
      <c r="BX49" s="181" t="s">
        <v>110</v>
      </c>
      <c r="BY49" s="181">
        <v>0.1</v>
      </c>
      <c r="BZ49" s="185">
        <v>6.1999999999999998E-3</v>
      </c>
      <c r="CA49" s="181"/>
      <c r="CB49" s="181">
        <v>6</v>
      </c>
      <c r="CC49" s="182">
        <v>1.85</v>
      </c>
      <c r="CD49" s="182">
        <v>1.9</v>
      </c>
      <c r="CE49" s="183">
        <v>0.95</v>
      </c>
      <c r="CF49" s="183">
        <v>1.9</v>
      </c>
      <c r="CG49" s="180">
        <v>2</v>
      </c>
      <c r="CH49" s="180">
        <v>5</v>
      </c>
      <c r="CI49" s="186">
        <v>1.06E-2</v>
      </c>
    </row>
    <row r="50" spans="1:87" ht="15" x14ac:dyDescent="0.25">
      <c r="A50" s="169" t="s">
        <v>126</v>
      </c>
      <c r="B50" s="170"/>
      <c r="C50" s="170" t="s">
        <v>108</v>
      </c>
      <c r="D50" s="171" t="s">
        <v>69</v>
      </c>
      <c r="E50" s="172">
        <v>40</v>
      </c>
      <c r="F50" s="172">
        <v>3</v>
      </c>
      <c r="G50" s="172" t="s">
        <v>70</v>
      </c>
      <c r="H50" s="171"/>
      <c r="I50" s="172">
        <v>13.5</v>
      </c>
      <c r="J50" s="173" t="s">
        <v>71</v>
      </c>
      <c r="K50" s="172" t="s">
        <v>72</v>
      </c>
      <c r="L50" s="172" t="s">
        <v>73</v>
      </c>
      <c r="M50" s="174"/>
      <c r="N50" s="175">
        <v>0.23</v>
      </c>
      <c r="O50" s="171">
        <v>5</v>
      </c>
      <c r="P50" s="171">
        <v>2.75</v>
      </c>
      <c r="Q50" s="174">
        <v>4</v>
      </c>
      <c r="R50" s="174">
        <v>11</v>
      </c>
      <c r="S50" s="176" t="s">
        <v>85</v>
      </c>
      <c r="T50" s="174">
        <v>0.2</v>
      </c>
      <c r="U50" s="174">
        <v>1.6E-2</v>
      </c>
      <c r="V50" s="174">
        <v>1.5</v>
      </c>
      <c r="W50" s="174">
        <v>0.2</v>
      </c>
      <c r="X50" s="174">
        <v>1.6E-2</v>
      </c>
      <c r="Y50" s="174">
        <v>0.15</v>
      </c>
      <c r="Z50" s="177">
        <v>0.45</v>
      </c>
      <c r="AA50" s="178">
        <v>2.1999999999999999E-2</v>
      </c>
      <c r="AB50" s="178">
        <v>2.2999999999999998</v>
      </c>
      <c r="AC50" s="178">
        <v>1.4E-2</v>
      </c>
      <c r="AD50" s="178">
        <v>0.55000000000000004</v>
      </c>
      <c r="AE50" s="178">
        <v>2.8000000000000001E-2</v>
      </c>
      <c r="AF50" s="179">
        <v>12</v>
      </c>
      <c r="AG50" s="178">
        <v>0.4</v>
      </c>
      <c r="AH50" s="178">
        <v>2.1999999999999999E-2</v>
      </c>
      <c r="AI50" s="106">
        <v>2.2999999999999998</v>
      </c>
      <c r="AJ50" s="178">
        <v>1.4E-2</v>
      </c>
      <c r="AK50" s="178">
        <v>0.47499999999999998</v>
      </c>
      <c r="AL50" s="178">
        <v>2.8000000000000001E-2</v>
      </c>
      <c r="AM50" s="178">
        <v>14</v>
      </c>
      <c r="AN50" s="178">
        <v>0.35</v>
      </c>
      <c r="AO50" s="178">
        <v>1.6E-2</v>
      </c>
      <c r="AP50" s="178">
        <v>2.3140000000000001</v>
      </c>
      <c r="AQ50" s="178">
        <v>1.6E-2</v>
      </c>
      <c r="AR50" s="178">
        <v>0.45</v>
      </c>
      <c r="AS50" s="178">
        <v>0.02</v>
      </c>
      <c r="AT50" s="178">
        <v>14</v>
      </c>
      <c r="AU50" s="178"/>
      <c r="AV50" s="83">
        <v>0</v>
      </c>
      <c r="AW50" s="56" t="s">
        <v>65</v>
      </c>
      <c r="AX50" s="83">
        <v>7</v>
      </c>
      <c r="AY50" s="83">
        <v>7</v>
      </c>
      <c r="AZ50" s="56" t="s">
        <v>65</v>
      </c>
      <c r="BA50" s="83">
        <v>14</v>
      </c>
      <c r="BB50" s="83">
        <v>14</v>
      </c>
      <c r="BC50" s="56" t="s">
        <v>65</v>
      </c>
      <c r="BD50" s="83">
        <v>26</v>
      </c>
      <c r="BE50" s="83">
        <v>26</v>
      </c>
      <c r="BF50" s="56" t="s">
        <v>65</v>
      </c>
      <c r="BG50" s="83">
        <v>33</v>
      </c>
      <c r="BH50" s="83">
        <v>33</v>
      </c>
      <c r="BI50" s="56" t="s">
        <v>65</v>
      </c>
      <c r="BJ50" s="83">
        <v>40</v>
      </c>
      <c r="BK50" s="84"/>
      <c r="BL50" s="177">
        <v>0.45</v>
      </c>
      <c r="BM50" s="178">
        <v>2.1999999999999999E-2</v>
      </c>
      <c r="BN50" s="178">
        <v>2.2999999999999998</v>
      </c>
      <c r="BO50" s="178">
        <v>1.4E-2</v>
      </c>
      <c r="BP50" s="178">
        <v>0.55000000000000004</v>
      </c>
      <c r="BQ50" s="179">
        <v>2.8000000000000001E-2</v>
      </c>
      <c r="BR50" s="180"/>
      <c r="BS50" s="181">
        <v>4</v>
      </c>
      <c r="BT50" s="182">
        <v>10</v>
      </c>
      <c r="BU50" s="183">
        <v>1.5</v>
      </c>
      <c r="BV50" s="184">
        <v>8.0000000000000002E-3</v>
      </c>
      <c r="BW50" s="181">
        <v>1.2</v>
      </c>
      <c r="BX50" s="181" t="s">
        <v>115</v>
      </c>
      <c r="BY50" s="181">
        <v>0.1</v>
      </c>
      <c r="BZ50" s="185">
        <v>4.0000000000000001E-3</v>
      </c>
      <c r="CA50" s="181"/>
      <c r="CB50" s="181">
        <v>6</v>
      </c>
      <c r="CC50" s="182">
        <v>1.9</v>
      </c>
      <c r="CD50" s="182">
        <v>2</v>
      </c>
      <c r="CE50" s="183">
        <v>1</v>
      </c>
      <c r="CF50" s="183">
        <v>1.95</v>
      </c>
      <c r="CG50" s="180">
        <v>2</v>
      </c>
      <c r="CH50" s="180">
        <v>5</v>
      </c>
      <c r="CI50" s="186">
        <v>1.03E-2</v>
      </c>
    </row>
    <row r="51" spans="1:87" ht="15" x14ac:dyDescent="0.25">
      <c r="A51" s="169" t="s">
        <v>127</v>
      </c>
      <c r="B51" s="170"/>
      <c r="C51" s="170" t="s">
        <v>108</v>
      </c>
      <c r="D51" s="171" t="s">
        <v>69</v>
      </c>
      <c r="E51" s="172">
        <v>45</v>
      </c>
      <c r="F51" s="172">
        <v>3</v>
      </c>
      <c r="G51" s="172" t="s">
        <v>70</v>
      </c>
      <c r="H51" s="171"/>
      <c r="I51" s="172">
        <v>13.5</v>
      </c>
      <c r="J51" s="173" t="s">
        <v>71</v>
      </c>
      <c r="K51" s="172" t="s">
        <v>72</v>
      </c>
      <c r="L51" s="172" t="s">
        <v>73</v>
      </c>
      <c r="M51" s="174"/>
      <c r="N51" s="175">
        <v>0.23</v>
      </c>
      <c r="O51" s="171">
        <v>5</v>
      </c>
      <c r="P51" s="171">
        <v>2.75</v>
      </c>
      <c r="Q51" s="174">
        <v>3.75</v>
      </c>
      <c r="R51" s="174">
        <v>13</v>
      </c>
      <c r="S51" s="176" t="s">
        <v>87</v>
      </c>
      <c r="T51" s="174">
        <v>0.2</v>
      </c>
      <c r="U51" s="174">
        <v>1.2E-2</v>
      </c>
      <c r="V51" s="174">
        <v>2</v>
      </c>
      <c r="W51" s="174">
        <v>0.2</v>
      </c>
      <c r="X51" s="174">
        <v>1.2E-2</v>
      </c>
      <c r="Y51" s="174">
        <v>0.15</v>
      </c>
      <c r="Z51" s="177">
        <v>0.45</v>
      </c>
      <c r="AA51" s="178">
        <v>2.1999999999999999E-2</v>
      </c>
      <c r="AB51" s="178">
        <v>2.6</v>
      </c>
      <c r="AC51" s="178">
        <v>1.6E-2</v>
      </c>
      <c r="AD51" s="178">
        <v>0.55000000000000004</v>
      </c>
      <c r="AE51" s="178">
        <v>2.8000000000000001E-2</v>
      </c>
      <c r="AF51" s="179">
        <v>12</v>
      </c>
      <c r="AG51" s="178">
        <v>0.375</v>
      </c>
      <c r="AH51" s="178">
        <v>0.02</v>
      </c>
      <c r="AI51" s="178">
        <v>2.605</v>
      </c>
      <c r="AJ51" s="178">
        <v>1.6E-2</v>
      </c>
      <c r="AK51" s="178">
        <v>0.45</v>
      </c>
      <c r="AL51" s="178">
        <v>2.5000000000000001E-2</v>
      </c>
      <c r="AM51" s="178">
        <v>21</v>
      </c>
      <c r="AN51" s="178">
        <v>0.32500000000000001</v>
      </c>
      <c r="AO51" s="178">
        <v>1.6E-2</v>
      </c>
      <c r="AP51" s="178">
        <v>2.6139999999999999</v>
      </c>
      <c r="AQ51" s="178">
        <v>1.7999999999999999E-2</v>
      </c>
      <c r="AR51" s="178">
        <v>0.4</v>
      </c>
      <c r="AS51" s="178">
        <v>0.02</v>
      </c>
      <c r="AT51" s="178">
        <v>12</v>
      </c>
      <c r="AU51" s="178"/>
      <c r="AV51" s="83">
        <v>0</v>
      </c>
      <c r="AW51" s="56" t="s">
        <v>65</v>
      </c>
      <c r="AX51" s="83">
        <v>6</v>
      </c>
      <c r="AY51" s="83">
        <v>6</v>
      </c>
      <c r="AZ51" s="56" t="s">
        <v>65</v>
      </c>
      <c r="BA51" s="83">
        <v>16.5</v>
      </c>
      <c r="BB51" s="83">
        <v>16.5</v>
      </c>
      <c r="BC51" s="56" t="s">
        <v>65</v>
      </c>
      <c r="BD51" s="83">
        <v>28.5</v>
      </c>
      <c r="BE51" s="83">
        <v>28.5</v>
      </c>
      <c r="BF51" s="56" t="s">
        <v>65</v>
      </c>
      <c r="BG51" s="83">
        <v>39</v>
      </c>
      <c r="BH51" s="83">
        <v>39</v>
      </c>
      <c r="BI51" s="56" t="s">
        <v>65</v>
      </c>
      <c r="BJ51" s="83">
        <v>45</v>
      </c>
      <c r="BK51" s="84"/>
      <c r="BL51" s="177">
        <v>0.45</v>
      </c>
      <c r="BM51" s="178">
        <v>2.1999999999999999E-2</v>
      </c>
      <c r="BN51" s="178">
        <v>2.6</v>
      </c>
      <c r="BO51" s="178">
        <v>1.6E-2</v>
      </c>
      <c r="BP51" s="178">
        <v>0.55000000000000004</v>
      </c>
      <c r="BQ51" s="179">
        <v>2.8000000000000001E-2</v>
      </c>
      <c r="BR51" s="180"/>
      <c r="BS51" s="181">
        <v>4</v>
      </c>
      <c r="BT51" s="182">
        <v>10</v>
      </c>
      <c r="BU51" s="183">
        <v>1.5</v>
      </c>
      <c r="BV51" s="184">
        <v>8.0000000000000002E-3</v>
      </c>
      <c r="BW51" s="181">
        <v>1.25</v>
      </c>
      <c r="BX51" s="181" t="s">
        <v>115</v>
      </c>
      <c r="BY51" s="181">
        <v>0.1</v>
      </c>
      <c r="BZ51" s="185">
        <v>3.8999999999999998E-3</v>
      </c>
      <c r="CA51" s="181"/>
      <c r="CB51" s="181">
        <v>6</v>
      </c>
      <c r="CC51" s="182">
        <v>1.95</v>
      </c>
      <c r="CD51" s="182">
        <v>2.1</v>
      </c>
      <c r="CE51" s="183">
        <v>1.05</v>
      </c>
      <c r="CF51" s="183">
        <v>2</v>
      </c>
      <c r="CG51" s="180">
        <v>2</v>
      </c>
      <c r="CH51" s="180">
        <v>5</v>
      </c>
      <c r="CI51" s="186">
        <v>1.01E-2</v>
      </c>
    </row>
    <row r="52" spans="1:87" ht="15" x14ac:dyDescent="0.25">
      <c r="A52" s="94" t="s">
        <v>128</v>
      </c>
      <c r="B52" s="95"/>
      <c r="C52" s="95" t="s">
        <v>108</v>
      </c>
      <c r="D52" s="96" t="s">
        <v>69</v>
      </c>
      <c r="E52" s="97">
        <v>20</v>
      </c>
      <c r="F52" s="97">
        <v>3</v>
      </c>
      <c r="G52" s="97" t="s">
        <v>89</v>
      </c>
      <c r="H52" s="96"/>
      <c r="I52" s="97">
        <v>11.5</v>
      </c>
      <c r="J52" s="99" t="s">
        <v>71</v>
      </c>
      <c r="K52" s="97" t="s">
        <v>72</v>
      </c>
      <c r="L52" s="97" t="s">
        <v>73</v>
      </c>
      <c r="M52" s="100"/>
      <c r="N52" s="101">
        <v>0.23</v>
      </c>
      <c r="O52" s="96">
        <v>4</v>
      </c>
      <c r="P52" s="96">
        <v>2.875</v>
      </c>
      <c r="Q52" s="100">
        <v>4</v>
      </c>
      <c r="R52" s="100">
        <v>6</v>
      </c>
      <c r="S52" s="103" t="s">
        <v>74</v>
      </c>
      <c r="T52" s="100">
        <v>0.2</v>
      </c>
      <c r="U52" s="100">
        <v>8.0000000000000002E-3</v>
      </c>
      <c r="V52" s="100">
        <v>1.5</v>
      </c>
      <c r="W52" s="100">
        <v>0.2</v>
      </c>
      <c r="X52" s="100">
        <v>8.0000000000000002E-3</v>
      </c>
      <c r="Y52" s="100">
        <v>0.15</v>
      </c>
      <c r="Z52" s="104">
        <v>0.45</v>
      </c>
      <c r="AA52" s="54">
        <v>0.02</v>
      </c>
      <c r="AB52" s="54">
        <v>1.0049999999999999</v>
      </c>
      <c r="AC52" s="54">
        <v>8.0000000000000002E-3</v>
      </c>
      <c r="AD52" s="54">
        <v>0.55000000000000004</v>
      </c>
      <c r="AE52" s="54">
        <v>2.5000000000000001E-2</v>
      </c>
      <c r="AF52" s="105">
        <v>8</v>
      </c>
      <c r="AG52" s="54">
        <v>0</v>
      </c>
      <c r="AH52" s="54">
        <v>0</v>
      </c>
      <c r="AI52" s="54">
        <v>0</v>
      </c>
      <c r="AJ52" s="54">
        <v>0</v>
      </c>
      <c r="AK52" s="54">
        <v>0</v>
      </c>
      <c r="AL52" s="54">
        <v>0</v>
      </c>
      <c r="AM52" s="54">
        <v>0</v>
      </c>
      <c r="AN52" s="54">
        <v>0.375</v>
      </c>
      <c r="AO52" s="54">
        <v>1.7999999999999999E-2</v>
      </c>
      <c r="AP52" s="54">
        <v>1.012</v>
      </c>
      <c r="AQ52" s="54">
        <v>0.01</v>
      </c>
      <c r="AR52" s="54">
        <v>0.45</v>
      </c>
      <c r="AS52" s="54">
        <v>0.02</v>
      </c>
      <c r="AT52" s="54">
        <v>12</v>
      </c>
      <c r="AU52" s="54"/>
      <c r="AV52" s="83">
        <v>0</v>
      </c>
      <c r="AW52" s="56" t="s">
        <v>65</v>
      </c>
      <c r="AX52" s="83">
        <v>6</v>
      </c>
      <c r="AY52" s="83">
        <v>6</v>
      </c>
      <c r="AZ52" s="56" t="s">
        <v>65</v>
      </c>
      <c r="BA52" s="83">
        <v>6</v>
      </c>
      <c r="BB52" s="83">
        <v>6</v>
      </c>
      <c r="BC52" s="56" t="s">
        <v>65</v>
      </c>
      <c r="BD52" s="83">
        <v>14</v>
      </c>
      <c r="BE52" s="83">
        <v>14</v>
      </c>
      <c r="BF52" s="56" t="s">
        <v>65</v>
      </c>
      <c r="BG52" s="83">
        <v>14</v>
      </c>
      <c r="BH52" s="83">
        <v>14</v>
      </c>
      <c r="BI52" s="56" t="s">
        <v>65</v>
      </c>
      <c r="BJ52" s="83">
        <v>20</v>
      </c>
      <c r="BK52" s="84"/>
      <c r="BL52" s="104">
        <v>0.45</v>
      </c>
      <c r="BM52" s="54">
        <v>0.02</v>
      </c>
      <c r="BN52" s="54">
        <v>1.0049999999999999</v>
      </c>
      <c r="BO52" s="54">
        <v>8.0000000000000002E-3</v>
      </c>
      <c r="BP52" s="54">
        <v>0.55000000000000004</v>
      </c>
      <c r="BQ52" s="105">
        <v>2.5000000000000001E-2</v>
      </c>
      <c r="BR52" s="84"/>
      <c r="BS52" s="107">
        <v>4</v>
      </c>
      <c r="BT52" s="108">
        <v>10</v>
      </c>
      <c r="BU52" s="109">
        <v>1</v>
      </c>
      <c r="BV52" s="110">
        <v>8.0000000000000002E-3</v>
      </c>
      <c r="BW52" s="107">
        <v>0.75</v>
      </c>
      <c r="BX52" s="107" t="s">
        <v>83</v>
      </c>
      <c r="BY52" s="111">
        <v>0.1</v>
      </c>
      <c r="BZ52" s="112">
        <v>6.4000000000000003E-3</v>
      </c>
      <c r="CA52" s="107"/>
      <c r="CB52" s="107">
        <v>6</v>
      </c>
      <c r="CC52" s="108">
        <v>1.5</v>
      </c>
      <c r="CD52" s="108">
        <v>1.6</v>
      </c>
      <c r="CE52" s="109">
        <v>0.8</v>
      </c>
      <c r="CF52" s="109">
        <v>1.55</v>
      </c>
      <c r="CG52" s="113">
        <v>2</v>
      </c>
      <c r="CH52" s="113">
        <v>3.81</v>
      </c>
      <c r="CI52" s="114">
        <v>9.2999999999999992E-3</v>
      </c>
    </row>
    <row r="53" spans="1:87" ht="15" x14ac:dyDescent="0.25">
      <c r="A53" s="94" t="s">
        <v>129</v>
      </c>
      <c r="B53" s="95"/>
      <c r="C53" s="95" t="s">
        <v>108</v>
      </c>
      <c r="D53" s="96" t="s">
        <v>69</v>
      </c>
      <c r="E53" s="97">
        <v>25</v>
      </c>
      <c r="F53" s="97">
        <v>3</v>
      </c>
      <c r="G53" s="97" t="s">
        <v>89</v>
      </c>
      <c r="H53" s="96"/>
      <c r="I53" s="97">
        <v>11.5</v>
      </c>
      <c r="J53" s="99" t="s">
        <v>71</v>
      </c>
      <c r="K53" s="97" t="s">
        <v>72</v>
      </c>
      <c r="L53" s="97" t="s">
        <v>73</v>
      </c>
      <c r="M53" s="100"/>
      <c r="N53" s="101">
        <v>0.23</v>
      </c>
      <c r="O53" s="96">
        <v>4</v>
      </c>
      <c r="P53" s="96">
        <v>2.875</v>
      </c>
      <c r="Q53" s="100">
        <v>3.5710000000000002</v>
      </c>
      <c r="R53" s="100">
        <v>8</v>
      </c>
      <c r="S53" s="103" t="s">
        <v>77</v>
      </c>
      <c r="T53" s="100">
        <v>0.2</v>
      </c>
      <c r="U53" s="100">
        <v>8.0000000000000002E-3</v>
      </c>
      <c r="V53" s="100">
        <v>1.5</v>
      </c>
      <c r="W53" s="100">
        <v>0.2</v>
      </c>
      <c r="X53" s="100">
        <v>8.0000000000000002E-3</v>
      </c>
      <c r="Y53" s="100">
        <v>0.15</v>
      </c>
      <c r="Z53" s="104">
        <v>0.45</v>
      </c>
      <c r="AA53" s="54">
        <v>0.02</v>
      </c>
      <c r="AB53" s="54">
        <v>1.33</v>
      </c>
      <c r="AC53" s="54">
        <v>8.0000000000000002E-3</v>
      </c>
      <c r="AD53" s="54">
        <v>0.55000000000000004</v>
      </c>
      <c r="AE53" s="54">
        <v>2.5000000000000001E-2</v>
      </c>
      <c r="AF53" s="105">
        <v>9</v>
      </c>
      <c r="AG53" s="54">
        <v>0</v>
      </c>
      <c r="AH53" s="54">
        <v>0</v>
      </c>
      <c r="AI53" s="54">
        <v>0</v>
      </c>
      <c r="AJ53" s="54">
        <v>0</v>
      </c>
      <c r="AK53" s="54">
        <v>0</v>
      </c>
      <c r="AL53" s="54">
        <v>0</v>
      </c>
      <c r="AM53" s="54">
        <v>0</v>
      </c>
      <c r="AN53" s="54">
        <v>0.375</v>
      </c>
      <c r="AO53" s="54">
        <v>1.7999999999999999E-2</v>
      </c>
      <c r="AP53" s="54">
        <v>1.337</v>
      </c>
      <c r="AQ53" s="54">
        <v>1.2E-2</v>
      </c>
      <c r="AR53" s="54">
        <v>0.45</v>
      </c>
      <c r="AS53" s="54">
        <v>0.02</v>
      </c>
      <c r="AT53" s="54">
        <v>16</v>
      </c>
      <c r="AU53" s="54"/>
      <c r="AV53" s="83">
        <v>0</v>
      </c>
      <c r="AW53" s="56" t="s">
        <v>65</v>
      </c>
      <c r="AX53" s="83">
        <v>8</v>
      </c>
      <c r="AY53" s="83">
        <v>8</v>
      </c>
      <c r="AZ53" s="56" t="s">
        <v>65</v>
      </c>
      <c r="BA53" s="83">
        <v>8</v>
      </c>
      <c r="BB53" s="83">
        <v>8</v>
      </c>
      <c r="BC53" s="56" t="s">
        <v>65</v>
      </c>
      <c r="BD53" s="83">
        <v>17</v>
      </c>
      <c r="BE53" s="83">
        <v>17</v>
      </c>
      <c r="BF53" s="56" t="s">
        <v>65</v>
      </c>
      <c r="BG53" s="83">
        <v>17</v>
      </c>
      <c r="BH53" s="83">
        <v>17</v>
      </c>
      <c r="BI53" s="56" t="s">
        <v>65</v>
      </c>
      <c r="BJ53" s="83">
        <v>25</v>
      </c>
      <c r="BK53" s="84"/>
      <c r="BL53" s="104">
        <v>0.45</v>
      </c>
      <c r="BM53" s="54">
        <v>0.02</v>
      </c>
      <c r="BN53" s="54">
        <v>1.33</v>
      </c>
      <c r="BO53" s="54">
        <v>8.0000000000000002E-3</v>
      </c>
      <c r="BP53" s="54">
        <v>0.55000000000000004</v>
      </c>
      <c r="BQ53" s="105">
        <v>2.5000000000000001E-2</v>
      </c>
      <c r="BR53" s="84"/>
      <c r="BS53" s="107">
        <v>4</v>
      </c>
      <c r="BT53" s="108">
        <v>10</v>
      </c>
      <c r="BU53" s="109">
        <v>1.2</v>
      </c>
      <c r="BV53" s="110">
        <v>8.0000000000000002E-3</v>
      </c>
      <c r="BW53" s="107">
        <v>0.76</v>
      </c>
      <c r="BX53" s="107" t="s">
        <v>110</v>
      </c>
      <c r="BY53" s="111">
        <v>0.1</v>
      </c>
      <c r="BZ53" s="112">
        <v>6.3E-3</v>
      </c>
      <c r="CA53" s="107"/>
      <c r="CB53" s="107">
        <v>6</v>
      </c>
      <c r="CC53" s="108">
        <v>1.55</v>
      </c>
      <c r="CD53" s="108">
        <v>1.7</v>
      </c>
      <c r="CE53" s="109">
        <v>0.85</v>
      </c>
      <c r="CF53" s="109">
        <v>1.6</v>
      </c>
      <c r="CG53" s="113">
        <v>2</v>
      </c>
      <c r="CH53" s="113">
        <v>3.81</v>
      </c>
      <c r="CI53" s="114">
        <v>6.4000000000000003E-3</v>
      </c>
    </row>
    <row r="54" spans="1:87" ht="15" x14ac:dyDescent="0.25">
      <c r="A54" s="94" t="s">
        <v>130</v>
      </c>
      <c r="B54" s="95"/>
      <c r="C54" s="95" t="s">
        <v>108</v>
      </c>
      <c r="D54" s="96" t="s">
        <v>69</v>
      </c>
      <c r="E54" s="97">
        <v>30</v>
      </c>
      <c r="F54" s="97">
        <v>3</v>
      </c>
      <c r="G54" s="97" t="s">
        <v>89</v>
      </c>
      <c r="H54" s="96"/>
      <c r="I54" s="97">
        <v>11.5</v>
      </c>
      <c r="J54" s="99" t="s">
        <v>71</v>
      </c>
      <c r="K54" s="97" t="s">
        <v>72</v>
      </c>
      <c r="L54" s="97" t="s">
        <v>73</v>
      </c>
      <c r="M54" s="100"/>
      <c r="N54" s="101">
        <v>0.23</v>
      </c>
      <c r="O54" s="96">
        <v>4</v>
      </c>
      <c r="P54" s="96">
        <v>2.875</v>
      </c>
      <c r="Q54" s="100">
        <v>3.75</v>
      </c>
      <c r="R54" s="100">
        <v>9</v>
      </c>
      <c r="S54" s="103" t="s">
        <v>80</v>
      </c>
      <c r="T54" s="100">
        <v>0.2</v>
      </c>
      <c r="U54" s="100">
        <v>8.0000000000000002E-3</v>
      </c>
      <c r="V54" s="100">
        <v>1.5</v>
      </c>
      <c r="W54" s="100">
        <v>0.2</v>
      </c>
      <c r="X54" s="100">
        <v>8.0000000000000002E-3</v>
      </c>
      <c r="Y54" s="100">
        <v>0.15</v>
      </c>
      <c r="Z54" s="104">
        <v>0.47499999999999998</v>
      </c>
      <c r="AA54" s="54">
        <v>0.02</v>
      </c>
      <c r="AB54" s="93">
        <v>1.7050000000000001</v>
      </c>
      <c r="AC54" s="54">
        <v>0.01</v>
      </c>
      <c r="AD54" s="54">
        <v>0.57499999999999996</v>
      </c>
      <c r="AE54" s="54">
        <v>2.5000000000000001E-2</v>
      </c>
      <c r="AF54" s="105">
        <v>12</v>
      </c>
      <c r="AG54" s="54">
        <v>0</v>
      </c>
      <c r="AH54" s="54">
        <v>0</v>
      </c>
      <c r="AI54" s="54">
        <v>0</v>
      </c>
      <c r="AJ54" s="54">
        <v>0</v>
      </c>
      <c r="AK54" s="54">
        <v>0</v>
      </c>
      <c r="AL54" s="54">
        <v>0</v>
      </c>
      <c r="AM54" s="54">
        <v>0</v>
      </c>
      <c r="AN54" s="54">
        <v>0.375</v>
      </c>
      <c r="AO54" s="54">
        <v>1.7999999999999999E-2</v>
      </c>
      <c r="AP54" s="54">
        <v>1.712</v>
      </c>
      <c r="AQ54" s="54">
        <v>1.4E-2</v>
      </c>
      <c r="AR54" s="54">
        <v>0.45</v>
      </c>
      <c r="AS54" s="54">
        <v>0.02</v>
      </c>
      <c r="AT54" s="54">
        <v>18</v>
      </c>
      <c r="AU54" s="54"/>
      <c r="AV54" s="83">
        <v>0</v>
      </c>
      <c r="AW54" s="56" t="s">
        <v>65</v>
      </c>
      <c r="AX54" s="83">
        <v>9</v>
      </c>
      <c r="AY54" s="83">
        <v>9</v>
      </c>
      <c r="AZ54" s="56" t="s">
        <v>65</v>
      </c>
      <c r="BA54" s="83">
        <v>9</v>
      </c>
      <c r="BB54" s="83">
        <v>9</v>
      </c>
      <c r="BC54" s="56" t="s">
        <v>65</v>
      </c>
      <c r="BD54" s="83">
        <v>21</v>
      </c>
      <c r="BE54" s="83">
        <v>21</v>
      </c>
      <c r="BF54" s="56" t="s">
        <v>65</v>
      </c>
      <c r="BG54" s="83">
        <v>21</v>
      </c>
      <c r="BH54" s="83">
        <v>21</v>
      </c>
      <c r="BI54" s="56" t="s">
        <v>65</v>
      </c>
      <c r="BJ54" s="83">
        <v>30</v>
      </c>
      <c r="BK54" s="84"/>
      <c r="BL54" s="104">
        <v>0.47499999999999998</v>
      </c>
      <c r="BM54" s="54">
        <v>0.02</v>
      </c>
      <c r="BN54" s="93">
        <v>1.7050000000000001</v>
      </c>
      <c r="BO54" s="54">
        <v>0.01</v>
      </c>
      <c r="BP54" s="54">
        <v>0.57499999999999996</v>
      </c>
      <c r="BQ54" s="105">
        <v>2.5000000000000001E-2</v>
      </c>
      <c r="BR54" s="84"/>
      <c r="BS54" s="107">
        <v>4</v>
      </c>
      <c r="BT54" s="108">
        <v>10</v>
      </c>
      <c r="BU54" s="109">
        <v>1.2</v>
      </c>
      <c r="BV54" s="110">
        <v>8.0000000000000002E-3</v>
      </c>
      <c r="BW54" s="107">
        <v>0.81499999999999995</v>
      </c>
      <c r="BX54" s="107" t="s">
        <v>110</v>
      </c>
      <c r="BY54" s="111">
        <v>0.1</v>
      </c>
      <c r="BZ54" s="112">
        <v>5.8999999999999999E-3</v>
      </c>
      <c r="CA54" s="107"/>
      <c r="CB54" s="107">
        <v>6</v>
      </c>
      <c r="CC54" s="108">
        <v>1.6</v>
      </c>
      <c r="CD54" s="108">
        <v>1.8</v>
      </c>
      <c r="CE54" s="109">
        <v>0.9</v>
      </c>
      <c r="CF54" s="109">
        <v>1.65</v>
      </c>
      <c r="CG54" s="113">
        <v>2</v>
      </c>
      <c r="CH54" s="113">
        <v>3.81</v>
      </c>
      <c r="CI54" s="114">
        <v>8.8999999999999999E-3</v>
      </c>
    </row>
    <row r="55" spans="1:87" ht="15" x14ac:dyDescent="0.25">
      <c r="A55" s="94" t="s">
        <v>131</v>
      </c>
      <c r="B55" s="95"/>
      <c r="C55" s="95" t="s">
        <v>108</v>
      </c>
      <c r="D55" s="96" t="s">
        <v>69</v>
      </c>
      <c r="E55" s="97">
        <v>35</v>
      </c>
      <c r="F55" s="97">
        <v>3</v>
      </c>
      <c r="G55" s="97" t="s">
        <v>89</v>
      </c>
      <c r="H55" s="96"/>
      <c r="I55" s="97">
        <v>11.5</v>
      </c>
      <c r="J55" s="99" t="s">
        <v>71</v>
      </c>
      <c r="K55" s="97" t="s">
        <v>72</v>
      </c>
      <c r="L55" s="97" t="s">
        <v>73</v>
      </c>
      <c r="M55" s="100"/>
      <c r="N55" s="101">
        <v>0.23</v>
      </c>
      <c r="O55" s="96">
        <v>4</v>
      </c>
      <c r="P55" s="96">
        <v>2.875</v>
      </c>
      <c r="Q55" s="100">
        <v>3.5</v>
      </c>
      <c r="R55" s="100">
        <v>11</v>
      </c>
      <c r="S55" s="103" t="s">
        <v>80</v>
      </c>
      <c r="T55" s="100">
        <v>0.2</v>
      </c>
      <c r="U55" s="100">
        <v>0.01</v>
      </c>
      <c r="V55" s="100">
        <v>2</v>
      </c>
      <c r="W55" s="100">
        <v>0.2</v>
      </c>
      <c r="X55" s="100">
        <v>0.01</v>
      </c>
      <c r="Y55" s="100">
        <v>0.15</v>
      </c>
      <c r="Z55" s="104">
        <v>0.47499999999999998</v>
      </c>
      <c r="AA55" s="54">
        <v>2.1999999999999999E-2</v>
      </c>
      <c r="AB55" s="54">
        <v>2</v>
      </c>
      <c r="AC55" s="54">
        <v>1.2E-2</v>
      </c>
      <c r="AD55" s="54">
        <v>0.55000000000000004</v>
      </c>
      <c r="AE55" s="54">
        <v>2.8000000000000001E-2</v>
      </c>
      <c r="AF55" s="105">
        <v>11</v>
      </c>
      <c r="AG55" s="54">
        <v>0.4</v>
      </c>
      <c r="AH55" s="54">
        <v>2.1999999999999999E-2</v>
      </c>
      <c r="AI55" s="93">
        <v>2</v>
      </c>
      <c r="AJ55" s="54">
        <v>1.2E-2</v>
      </c>
      <c r="AK55" s="54">
        <v>0.47499999999999998</v>
      </c>
      <c r="AL55" s="54">
        <v>2.8000000000000001E-2</v>
      </c>
      <c r="AM55" s="54">
        <v>12</v>
      </c>
      <c r="AN55" s="54">
        <v>0.35</v>
      </c>
      <c r="AO55" s="54">
        <v>1.7999999999999999E-2</v>
      </c>
      <c r="AP55" s="54">
        <v>2.012</v>
      </c>
      <c r="AQ55" s="54">
        <v>1.4E-2</v>
      </c>
      <c r="AR55" s="54">
        <v>0.4</v>
      </c>
      <c r="AS55" s="54">
        <v>0.02</v>
      </c>
      <c r="AT55" s="54">
        <v>12</v>
      </c>
      <c r="AU55" s="54"/>
      <c r="AV55" s="83">
        <v>0</v>
      </c>
      <c r="AW55" s="56" t="s">
        <v>65</v>
      </c>
      <c r="AX55" s="83">
        <v>6</v>
      </c>
      <c r="AY55" s="83">
        <v>6</v>
      </c>
      <c r="AZ55" s="56" t="s">
        <v>65</v>
      </c>
      <c r="BA55" s="83">
        <v>12</v>
      </c>
      <c r="BB55" s="83">
        <v>12</v>
      </c>
      <c r="BC55" s="56" t="s">
        <v>65</v>
      </c>
      <c r="BD55" s="83">
        <v>23</v>
      </c>
      <c r="BE55" s="83">
        <v>23</v>
      </c>
      <c r="BF55" s="56" t="s">
        <v>65</v>
      </c>
      <c r="BG55" s="83">
        <v>29</v>
      </c>
      <c r="BH55" s="83">
        <v>29</v>
      </c>
      <c r="BI55" s="56" t="s">
        <v>65</v>
      </c>
      <c r="BJ55" s="83">
        <v>35</v>
      </c>
      <c r="BK55" s="84"/>
      <c r="BL55" s="104">
        <v>0.47499999999999998</v>
      </c>
      <c r="BM55" s="54">
        <v>2.1999999999999999E-2</v>
      </c>
      <c r="BN55" s="54">
        <v>2</v>
      </c>
      <c r="BO55" s="54">
        <v>1.2E-2</v>
      </c>
      <c r="BP55" s="54">
        <v>0.55000000000000004</v>
      </c>
      <c r="BQ55" s="105">
        <v>2.8000000000000001E-2</v>
      </c>
      <c r="BR55" s="84"/>
      <c r="BS55" s="107">
        <v>5</v>
      </c>
      <c r="BT55" s="108">
        <v>10</v>
      </c>
      <c r="BU55" s="109">
        <v>1.2</v>
      </c>
      <c r="BV55" s="110">
        <v>8.0000000000000002E-3</v>
      </c>
      <c r="BW55" s="107">
        <v>0.72</v>
      </c>
      <c r="BX55" s="107" t="s">
        <v>110</v>
      </c>
      <c r="BY55" s="111">
        <v>0.1</v>
      </c>
      <c r="BZ55" s="112">
        <v>6.7000000000000002E-3</v>
      </c>
      <c r="CA55" s="107"/>
      <c r="CB55" s="107">
        <v>6</v>
      </c>
      <c r="CC55" s="108">
        <v>1.65</v>
      </c>
      <c r="CD55" s="108">
        <v>1.9</v>
      </c>
      <c r="CE55" s="109">
        <v>0.95</v>
      </c>
      <c r="CF55" s="109">
        <v>1.7</v>
      </c>
      <c r="CG55" s="113">
        <v>2</v>
      </c>
      <c r="CH55" s="113">
        <v>3.81</v>
      </c>
      <c r="CI55" s="114">
        <v>8.3999999999999995E-3</v>
      </c>
    </row>
    <row r="56" spans="1:87" ht="15" x14ac:dyDescent="0.25">
      <c r="A56" s="94" t="s">
        <v>132</v>
      </c>
      <c r="B56" s="95"/>
      <c r="C56" s="95" t="s">
        <v>108</v>
      </c>
      <c r="D56" s="96" t="s">
        <v>69</v>
      </c>
      <c r="E56" s="97">
        <v>40</v>
      </c>
      <c r="F56" s="97">
        <v>3</v>
      </c>
      <c r="G56" s="97" t="s">
        <v>89</v>
      </c>
      <c r="H56" s="96"/>
      <c r="I56" s="97">
        <v>11.5</v>
      </c>
      <c r="J56" s="99" t="s">
        <v>71</v>
      </c>
      <c r="K56" s="97" t="s">
        <v>72</v>
      </c>
      <c r="L56" s="97" t="s">
        <v>73</v>
      </c>
      <c r="M56" s="100"/>
      <c r="N56" s="101">
        <v>0.23</v>
      </c>
      <c r="O56" s="96">
        <v>4</v>
      </c>
      <c r="P56" s="96">
        <v>2.875</v>
      </c>
      <c r="Q56" s="100">
        <v>4</v>
      </c>
      <c r="R56" s="100">
        <v>11</v>
      </c>
      <c r="S56" s="103" t="s">
        <v>85</v>
      </c>
      <c r="T56" s="100">
        <v>0.2</v>
      </c>
      <c r="U56" s="100">
        <v>8.0000000000000002E-3</v>
      </c>
      <c r="V56" s="100">
        <v>2</v>
      </c>
      <c r="W56" s="100">
        <v>0.2</v>
      </c>
      <c r="X56" s="100">
        <v>8.0000000000000002E-3</v>
      </c>
      <c r="Y56" s="100">
        <v>0.15</v>
      </c>
      <c r="Z56" s="104">
        <v>0.47499999999999998</v>
      </c>
      <c r="AA56" s="54">
        <v>2.5000000000000001E-2</v>
      </c>
      <c r="AB56" s="54">
        <v>2.2930000000000001</v>
      </c>
      <c r="AC56" s="54">
        <v>1.4E-2</v>
      </c>
      <c r="AD56" s="54">
        <v>0.55000000000000004</v>
      </c>
      <c r="AE56" s="54">
        <v>3.2000000000000001E-2</v>
      </c>
      <c r="AF56" s="105">
        <v>12</v>
      </c>
      <c r="AG56" s="54">
        <v>0.42499999999999999</v>
      </c>
      <c r="AH56" s="54">
        <v>2.1999999999999999E-2</v>
      </c>
      <c r="AI56" s="93">
        <v>2.2999999999999998</v>
      </c>
      <c r="AJ56" s="54">
        <v>1.6E-2</v>
      </c>
      <c r="AK56" s="54">
        <v>0.5</v>
      </c>
      <c r="AL56" s="54">
        <v>2.8000000000000001E-2</v>
      </c>
      <c r="AM56" s="54">
        <v>14</v>
      </c>
      <c r="AN56" s="54">
        <v>0.35</v>
      </c>
      <c r="AO56" s="54">
        <v>1.6E-2</v>
      </c>
      <c r="AP56" s="54">
        <v>2.3140000000000001</v>
      </c>
      <c r="AQ56" s="54">
        <v>1.6E-2</v>
      </c>
      <c r="AR56" s="54">
        <v>0.4</v>
      </c>
      <c r="AS56" s="54">
        <v>0.02</v>
      </c>
      <c r="AT56" s="54">
        <v>14</v>
      </c>
      <c r="AU56" s="54"/>
      <c r="AV56" s="83">
        <v>0</v>
      </c>
      <c r="AW56" s="56" t="s">
        <v>65</v>
      </c>
      <c r="AX56" s="83">
        <v>7</v>
      </c>
      <c r="AY56" s="83">
        <v>7</v>
      </c>
      <c r="AZ56" s="56" t="s">
        <v>65</v>
      </c>
      <c r="BA56" s="83">
        <v>14</v>
      </c>
      <c r="BB56" s="83">
        <v>14</v>
      </c>
      <c r="BC56" s="56" t="s">
        <v>65</v>
      </c>
      <c r="BD56" s="83">
        <v>26</v>
      </c>
      <c r="BE56" s="83">
        <v>26</v>
      </c>
      <c r="BF56" s="56" t="s">
        <v>65</v>
      </c>
      <c r="BG56" s="83">
        <v>33</v>
      </c>
      <c r="BH56" s="83">
        <v>33</v>
      </c>
      <c r="BI56" s="56" t="s">
        <v>65</v>
      </c>
      <c r="BJ56" s="83">
        <v>40</v>
      </c>
      <c r="BK56" s="84"/>
      <c r="BL56" s="104">
        <v>0.47499999999999998</v>
      </c>
      <c r="BM56" s="54">
        <v>2.5000000000000001E-2</v>
      </c>
      <c r="BN56" s="54">
        <v>2.2930000000000001</v>
      </c>
      <c r="BO56" s="54">
        <v>1.4E-2</v>
      </c>
      <c r="BP56" s="54">
        <v>0.55000000000000004</v>
      </c>
      <c r="BQ56" s="105">
        <v>3.2000000000000001E-2</v>
      </c>
      <c r="BR56" s="84"/>
      <c r="BS56" s="107">
        <v>5</v>
      </c>
      <c r="BT56" s="108">
        <v>10</v>
      </c>
      <c r="BU56" s="109">
        <v>1.2</v>
      </c>
      <c r="BV56" s="110">
        <v>8.0000000000000002E-3</v>
      </c>
      <c r="BW56" s="107">
        <v>0.76</v>
      </c>
      <c r="BX56" s="107" t="s">
        <v>110</v>
      </c>
      <c r="BY56" s="111">
        <v>0.1</v>
      </c>
      <c r="BZ56" s="112">
        <v>6.3E-3</v>
      </c>
      <c r="CA56" s="107"/>
      <c r="CB56" s="107">
        <v>6</v>
      </c>
      <c r="CC56" s="108">
        <v>1.7</v>
      </c>
      <c r="CD56" s="108">
        <v>2</v>
      </c>
      <c r="CE56" s="109">
        <v>1</v>
      </c>
      <c r="CF56" s="109">
        <v>1.75</v>
      </c>
      <c r="CG56" s="113">
        <v>2</v>
      </c>
      <c r="CH56" s="113">
        <v>3.81</v>
      </c>
      <c r="CI56" s="114">
        <v>8.2000000000000007E-3</v>
      </c>
    </row>
    <row r="57" spans="1:87" ht="15" x14ac:dyDescent="0.25">
      <c r="A57" s="188" t="s">
        <v>133</v>
      </c>
      <c r="B57" s="55"/>
      <c r="C57" s="55" t="s">
        <v>108</v>
      </c>
      <c r="D57" s="189" t="s">
        <v>69</v>
      </c>
      <c r="E57" s="97">
        <v>45</v>
      </c>
      <c r="F57" s="53">
        <v>3</v>
      </c>
      <c r="G57" s="53" t="s">
        <v>89</v>
      </c>
      <c r="H57" s="189"/>
      <c r="I57" s="53">
        <v>11.5</v>
      </c>
      <c r="J57" s="190" t="s">
        <v>71</v>
      </c>
      <c r="K57" s="53" t="s">
        <v>72</v>
      </c>
      <c r="L57" s="53" t="s">
        <v>73</v>
      </c>
      <c r="M57" s="191"/>
      <c r="N57" s="192">
        <v>0.23</v>
      </c>
      <c r="O57" s="96">
        <v>4</v>
      </c>
      <c r="P57" s="189">
        <v>2.875</v>
      </c>
      <c r="Q57" s="191">
        <v>3.75</v>
      </c>
      <c r="R57" s="100">
        <v>13</v>
      </c>
      <c r="S57" s="193" t="s">
        <v>87</v>
      </c>
      <c r="T57" s="191">
        <v>0.2</v>
      </c>
      <c r="U57" s="191">
        <v>0.01</v>
      </c>
      <c r="V57" s="191">
        <v>2</v>
      </c>
      <c r="W57" s="191">
        <v>0.2</v>
      </c>
      <c r="X57" s="191">
        <v>0.01</v>
      </c>
      <c r="Y57" s="191">
        <v>0.15</v>
      </c>
      <c r="Z57" s="194">
        <v>0.5</v>
      </c>
      <c r="AA57" s="195">
        <v>2.5000000000000001E-2</v>
      </c>
      <c r="AB57" s="195">
        <v>2.593</v>
      </c>
      <c r="AC57" s="195">
        <v>1.6E-2</v>
      </c>
      <c r="AD57" s="195">
        <v>0.57499999999999996</v>
      </c>
      <c r="AE57" s="195">
        <v>3.2000000000000001E-2</v>
      </c>
      <c r="AF57" s="196">
        <v>12</v>
      </c>
      <c r="AG57" s="54">
        <v>0.42499999999999999</v>
      </c>
      <c r="AH57" s="54">
        <v>2.5000000000000001E-2</v>
      </c>
      <c r="AI57" s="54">
        <v>2.593</v>
      </c>
      <c r="AJ57" s="54">
        <v>1.6E-2</v>
      </c>
      <c r="AK57" s="54">
        <v>0.5</v>
      </c>
      <c r="AL57" s="54">
        <v>3.2000000000000001E-2</v>
      </c>
      <c r="AM57" s="54">
        <v>21</v>
      </c>
      <c r="AN57" s="54">
        <v>0.35</v>
      </c>
      <c r="AO57" s="54">
        <v>1.6E-2</v>
      </c>
      <c r="AP57" s="54">
        <v>2.6139999999999999</v>
      </c>
      <c r="AQ57" s="54">
        <v>1.7999999999999999E-2</v>
      </c>
      <c r="AR57" s="54">
        <v>0.4</v>
      </c>
      <c r="AS57" s="54">
        <v>0.02</v>
      </c>
      <c r="AT57" s="54">
        <v>12</v>
      </c>
      <c r="AU57" s="54"/>
      <c r="AV57" s="83">
        <v>0</v>
      </c>
      <c r="AW57" s="56" t="s">
        <v>65</v>
      </c>
      <c r="AX57" s="83">
        <v>6</v>
      </c>
      <c r="AY57" s="83">
        <v>6</v>
      </c>
      <c r="AZ57" s="56" t="s">
        <v>65</v>
      </c>
      <c r="BA57" s="83">
        <v>16.5</v>
      </c>
      <c r="BB57" s="83">
        <v>16.5</v>
      </c>
      <c r="BC57" s="56" t="s">
        <v>65</v>
      </c>
      <c r="BD57" s="83">
        <v>28.5</v>
      </c>
      <c r="BE57" s="83">
        <v>28.5</v>
      </c>
      <c r="BF57" s="56" t="s">
        <v>65</v>
      </c>
      <c r="BG57" s="83">
        <v>39</v>
      </c>
      <c r="BH57" s="83">
        <v>39</v>
      </c>
      <c r="BI57" s="56" t="s">
        <v>65</v>
      </c>
      <c r="BJ57" s="83">
        <v>45</v>
      </c>
      <c r="BK57" s="84"/>
      <c r="BL57" s="194">
        <v>0.5</v>
      </c>
      <c r="BM57" s="195">
        <v>2.5000000000000001E-2</v>
      </c>
      <c r="BN57" s="195">
        <v>2.593</v>
      </c>
      <c r="BO57" s="195">
        <v>1.6E-2</v>
      </c>
      <c r="BP57" s="195">
        <v>0.57499999999999996</v>
      </c>
      <c r="BQ57" s="196">
        <v>3.2000000000000001E-2</v>
      </c>
      <c r="BR57" s="197"/>
      <c r="BS57" s="198">
        <v>4</v>
      </c>
      <c r="BT57" s="199">
        <v>10</v>
      </c>
      <c r="BU57" s="200">
        <v>1.5</v>
      </c>
      <c r="BV57" s="201">
        <v>8.0000000000000002E-3</v>
      </c>
      <c r="BW57" s="198">
        <v>1.2350000000000001</v>
      </c>
      <c r="BX57" s="198" t="s">
        <v>115</v>
      </c>
      <c r="BY57" s="202">
        <v>0.1</v>
      </c>
      <c r="BZ57" s="203">
        <v>3.8999999999999998E-3</v>
      </c>
      <c r="CA57" s="198"/>
      <c r="CB57" s="198">
        <v>6</v>
      </c>
      <c r="CC57" s="199">
        <v>1.75</v>
      </c>
      <c r="CD57" s="199">
        <v>2.1</v>
      </c>
      <c r="CE57" s="200">
        <v>1.05</v>
      </c>
      <c r="CF57" s="200">
        <v>1.8</v>
      </c>
      <c r="CG57" s="204">
        <v>2</v>
      </c>
      <c r="CH57" s="204">
        <v>3.81</v>
      </c>
      <c r="CI57" s="205">
        <v>7.9000000000000008E-3</v>
      </c>
    </row>
    <row r="58" spans="1:87" ht="13.8" x14ac:dyDescent="0.25">
      <c r="A58" s="206"/>
      <c r="H58" s="207"/>
      <c r="J58" s="3"/>
      <c r="AG58" s="208"/>
      <c r="AH58" s="208"/>
      <c r="AI58" s="208"/>
      <c r="AJ58" s="208"/>
      <c r="AK58" s="208"/>
      <c r="AL58" s="208"/>
      <c r="AM58" s="208"/>
    </row>
    <row r="59" spans="1:87" ht="13.8" x14ac:dyDescent="0.25">
      <c r="A59" s="206"/>
      <c r="H59" s="207"/>
      <c r="J59" s="3"/>
      <c r="AG59" s="208"/>
      <c r="AH59" s="208"/>
      <c r="AI59" s="208"/>
      <c r="AJ59" s="208"/>
      <c r="AK59" s="208"/>
      <c r="AL59" s="208"/>
      <c r="AM59" s="208"/>
    </row>
    <row r="60" spans="1:87" ht="13.8" x14ac:dyDescent="0.25">
      <c r="A60" s="206"/>
      <c r="H60" s="207"/>
      <c r="J60" s="3"/>
      <c r="AG60" s="208"/>
      <c r="AH60" s="208"/>
      <c r="AI60" s="208"/>
      <c r="AJ60" s="208"/>
      <c r="AK60" s="208"/>
      <c r="AL60" s="208"/>
      <c r="AM60" s="208"/>
    </row>
    <row r="61" spans="1:87" ht="13.8" x14ac:dyDescent="0.25">
      <c r="A61" s="206"/>
      <c r="H61" s="207"/>
      <c r="J61" s="3"/>
      <c r="AG61" s="208"/>
      <c r="AH61" s="208"/>
      <c r="AI61" s="208"/>
      <c r="AJ61" s="208"/>
      <c r="AK61" s="208"/>
      <c r="AL61" s="208"/>
      <c r="AM61" s="208"/>
    </row>
    <row r="62" spans="1:87" ht="13.8" x14ac:dyDescent="0.25">
      <c r="A62" s="206"/>
      <c r="H62" s="207"/>
      <c r="J62" s="3"/>
      <c r="AG62" s="208"/>
      <c r="AH62" s="208"/>
      <c r="AI62" s="208"/>
      <c r="AJ62" s="208"/>
      <c r="AK62" s="208"/>
      <c r="AL62" s="208"/>
      <c r="AM62" s="208"/>
    </row>
    <row r="63" spans="1:87" ht="13.8" x14ac:dyDescent="0.25">
      <c r="A63" s="206"/>
      <c r="H63" s="207"/>
      <c r="J63" s="3"/>
      <c r="AG63" s="208"/>
      <c r="AH63" s="208"/>
      <c r="AI63" s="208"/>
      <c r="AJ63" s="208"/>
      <c r="AK63" s="208"/>
      <c r="AL63" s="208"/>
      <c r="AM63" s="208"/>
    </row>
    <row r="64" spans="1:87" ht="13.8" x14ac:dyDescent="0.25">
      <c r="A64" s="206"/>
      <c r="H64" s="207"/>
      <c r="J64" s="3"/>
      <c r="AG64" s="208"/>
      <c r="AH64" s="208"/>
      <c r="AI64" s="208"/>
      <c r="AJ64" s="208"/>
      <c r="AK64" s="208"/>
      <c r="AL64" s="208"/>
      <c r="AM64" s="208"/>
    </row>
    <row r="65" spans="1:39" ht="13.8" x14ac:dyDescent="0.25">
      <c r="A65" s="206"/>
      <c r="H65" s="207"/>
      <c r="J65" s="3"/>
      <c r="AG65" s="208"/>
      <c r="AH65" s="208"/>
      <c r="AI65" s="208"/>
      <c r="AJ65" s="208"/>
      <c r="AK65" s="208"/>
      <c r="AL65" s="208"/>
      <c r="AM65" s="208"/>
    </row>
    <row r="66" spans="1:39" ht="13.8" x14ac:dyDescent="0.25">
      <c r="A66" s="206"/>
      <c r="H66" s="207"/>
      <c r="J66" s="3"/>
      <c r="AG66" s="208"/>
      <c r="AH66" s="208"/>
      <c r="AI66" s="208"/>
      <c r="AJ66" s="208"/>
      <c r="AK66" s="208"/>
      <c r="AL66" s="208"/>
      <c r="AM66" s="208"/>
    </row>
    <row r="67" spans="1:39" ht="13.8" x14ac:dyDescent="0.25">
      <c r="A67" s="206"/>
      <c r="H67" s="207"/>
      <c r="J67" s="3"/>
      <c r="AG67" s="208"/>
      <c r="AH67" s="208"/>
      <c r="AI67" s="208"/>
      <c r="AJ67" s="208"/>
      <c r="AK67" s="208"/>
      <c r="AL67" s="208"/>
      <c r="AM67" s="208"/>
    </row>
    <row r="68" spans="1:39" ht="13.8" x14ac:dyDescent="0.25">
      <c r="A68" s="206"/>
      <c r="H68" s="207"/>
      <c r="J68" s="3"/>
      <c r="AG68" s="208"/>
      <c r="AH68" s="208"/>
      <c r="AI68" s="208"/>
      <c r="AJ68" s="208"/>
      <c r="AK68" s="208"/>
      <c r="AL68" s="208"/>
      <c r="AM68" s="208"/>
    </row>
    <row r="69" spans="1:39" ht="13.8" x14ac:dyDescent="0.25">
      <c r="A69" s="206"/>
      <c r="H69" s="207"/>
      <c r="J69" s="3"/>
      <c r="AG69" s="208"/>
      <c r="AH69" s="208"/>
      <c r="AI69" s="208"/>
      <c r="AJ69" s="208"/>
      <c r="AK69" s="208"/>
      <c r="AL69" s="208"/>
      <c r="AM69" s="208"/>
    </row>
    <row r="70" spans="1:39" ht="13.8" x14ac:dyDescent="0.25">
      <c r="A70" s="206"/>
      <c r="H70" s="207"/>
      <c r="J70" s="3"/>
      <c r="AG70" s="208"/>
      <c r="AH70" s="208"/>
      <c r="AI70" s="208"/>
      <c r="AJ70" s="208"/>
      <c r="AK70" s="208"/>
      <c r="AL70" s="208"/>
      <c r="AM70" s="208"/>
    </row>
    <row r="71" spans="1:39" ht="13.8" x14ac:dyDescent="0.25">
      <c r="A71" s="206"/>
      <c r="H71" s="207"/>
      <c r="J71" s="3"/>
      <c r="AG71" s="208"/>
      <c r="AH71" s="208"/>
      <c r="AI71" s="208"/>
      <c r="AJ71" s="208"/>
      <c r="AK71" s="208"/>
      <c r="AL71" s="208"/>
      <c r="AM71" s="208"/>
    </row>
    <row r="72" spans="1:39" ht="13.8" x14ac:dyDescent="0.25">
      <c r="A72" s="206"/>
      <c r="H72" s="207"/>
      <c r="J72" s="3"/>
      <c r="AG72" s="208"/>
      <c r="AH72" s="208"/>
      <c r="AI72" s="208"/>
      <c r="AJ72" s="208"/>
      <c r="AK72" s="208"/>
      <c r="AL72" s="208"/>
      <c r="AM72" s="208"/>
    </row>
    <row r="73" spans="1:39" ht="13.8" x14ac:dyDescent="0.25">
      <c r="A73" s="206"/>
      <c r="H73" s="207"/>
      <c r="J73" s="3"/>
      <c r="AG73" s="208"/>
      <c r="AH73" s="208"/>
      <c r="AI73" s="208"/>
      <c r="AJ73" s="208"/>
      <c r="AK73" s="208"/>
      <c r="AL73" s="208"/>
      <c r="AM73" s="208"/>
    </row>
    <row r="74" spans="1:39" ht="13.8" x14ac:dyDescent="0.25">
      <c r="A74" s="206"/>
      <c r="H74" s="207"/>
      <c r="J74" s="3"/>
      <c r="AG74" s="208"/>
      <c r="AH74" s="208"/>
      <c r="AI74" s="208"/>
      <c r="AJ74" s="208"/>
      <c r="AK74" s="208"/>
      <c r="AL74" s="208"/>
      <c r="AM74" s="208"/>
    </row>
    <row r="75" spans="1:39" ht="13.8" x14ac:dyDescent="0.25">
      <c r="A75" s="206"/>
      <c r="H75" s="207"/>
      <c r="J75" s="3"/>
      <c r="AG75" s="208"/>
      <c r="AH75" s="208"/>
      <c r="AI75" s="208"/>
      <c r="AJ75" s="208"/>
      <c r="AK75" s="208"/>
      <c r="AL75" s="208"/>
      <c r="AM75" s="208"/>
    </row>
    <row r="76" spans="1:39" ht="13.8" x14ac:dyDescent="0.25">
      <c r="A76" s="206"/>
      <c r="H76" s="207"/>
      <c r="J76" s="3"/>
      <c r="AG76" s="208"/>
      <c r="AH76" s="208"/>
      <c r="AI76" s="208"/>
      <c r="AJ76" s="208"/>
      <c r="AK76" s="208"/>
      <c r="AL76" s="208"/>
      <c r="AM76" s="208"/>
    </row>
    <row r="77" spans="1:39" ht="13.8" x14ac:dyDescent="0.25">
      <c r="A77" s="206"/>
      <c r="H77" s="207"/>
      <c r="J77" s="3"/>
      <c r="AG77" s="208"/>
      <c r="AH77" s="208"/>
      <c r="AI77" s="208"/>
      <c r="AJ77" s="208"/>
      <c r="AK77" s="208"/>
      <c r="AL77" s="208"/>
      <c r="AM77" s="208"/>
    </row>
    <row r="78" spans="1:39" ht="13.8" x14ac:dyDescent="0.25">
      <c r="A78" s="206"/>
      <c r="H78" s="207"/>
      <c r="J78" s="3"/>
      <c r="AG78" s="208"/>
      <c r="AH78" s="208"/>
      <c r="AI78" s="208"/>
      <c r="AJ78" s="208"/>
      <c r="AK78" s="208"/>
      <c r="AL78" s="208"/>
      <c r="AM78" s="208"/>
    </row>
    <row r="79" spans="1:39" ht="13.8" x14ac:dyDescent="0.25">
      <c r="A79" s="206"/>
      <c r="H79" s="207"/>
      <c r="J79" s="3"/>
      <c r="AG79" s="208"/>
      <c r="AH79" s="208"/>
      <c r="AI79" s="208"/>
      <c r="AJ79" s="208"/>
      <c r="AK79" s="208"/>
      <c r="AL79" s="208"/>
      <c r="AM79" s="208"/>
    </row>
    <row r="80" spans="1:39" ht="13.8" x14ac:dyDescent="0.25">
      <c r="A80" s="206"/>
      <c r="H80" s="207"/>
      <c r="J80" s="3"/>
      <c r="AG80" s="208"/>
      <c r="AH80" s="208"/>
      <c r="AI80" s="208"/>
      <c r="AJ80" s="208"/>
      <c r="AK80" s="208"/>
      <c r="AL80" s="208"/>
      <c r="AM80" s="208"/>
    </row>
    <row r="81" spans="1:39" ht="13.8" x14ac:dyDescent="0.25">
      <c r="A81" s="206"/>
      <c r="H81" s="207"/>
      <c r="J81" s="3"/>
      <c r="AG81" s="208"/>
      <c r="AH81" s="208"/>
      <c r="AI81" s="208"/>
      <c r="AJ81" s="208"/>
      <c r="AK81" s="208"/>
      <c r="AL81" s="208"/>
      <c r="AM81" s="208"/>
    </row>
    <row r="82" spans="1:39" ht="13.8" x14ac:dyDescent="0.25">
      <c r="A82" s="206"/>
      <c r="H82" s="207"/>
      <c r="J82" s="3"/>
      <c r="AG82" s="208"/>
      <c r="AH82" s="208"/>
      <c r="AI82" s="208"/>
      <c r="AJ82" s="208"/>
      <c r="AK82" s="208"/>
      <c r="AL82" s="208"/>
      <c r="AM82" s="208"/>
    </row>
    <row r="83" spans="1:39" ht="13.8" x14ac:dyDescent="0.25">
      <c r="A83" s="206"/>
      <c r="H83" s="207"/>
      <c r="J83" s="3"/>
      <c r="AG83" s="208"/>
      <c r="AH83" s="208"/>
      <c r="AI83" s="208"/>
      <c r="AJ83" s="208"/>
      <c r="AK83" s="208"/>
      <c r="AL83" s="208"/>
      <c r="AM83" s="208"/>
    </row>
    <row r="84" spans="1:39" ht="13.8" x14ac:dyDescent="0.25">
      <c r="A84" s="206"/>
      <c r="H84" s="207"/>
      <c r="J84" s="3"/>
      <c r="AG84" s="208"/>
      <c r="AH84" s="208"/>
      <c r="AI84" s="208"/>
      <c r="AJ84" s="208"/>
      <c r="AK84" s="208"/>
      <c r="AL84" s="208"/>
      <c r="AM84" s="208"/>
    </row>
    <row r="85" spans="1:39" ht="13.8" x14ac:dyDescent="0.25">
      <c r="A85" s="206"/>
      <c r="H85" s="207"/>
      <c r="J85" s="3"/>
      <c r="AG85" s="208"/>
      <c r="AH85" s="208"/>
      <c r="AI85" s="208"/>
      <c r="AJ85" s="208"/>
      <c r="AK85" s="208"/>
      <c r="AL85" s="208"/>
      <c r="AM85" s="208"/>
    </row>
    <row r="86" spans="1:39" ht="13.8" x14ac:dyDescent="0.25">
      <c r="A86" s="206"/>
      <c r="H86" s="207"/>
      <c r="J86" s="3"/>
      <c r="AG86" s="208"/>
      <c r="AH86" s="208"/>
      <c r="AI86" s="208"/>
      <c r="AJ86" s="208"/>
      <c r="AK86" s="208"/>
      <c r="AL86" s="208"/>
      <c r="AM86" s="208"/>
    </row>
    <row r="87" spans="1:39" ht="13.8" x14ac:dyDescent="0.25">
      <c r="A87" s="206"/>
      <c r="H87" s="207"/>
      <c r="J87" s="3"/>
      <c r="AG87" s="208"/>
      <c r="AH87" s="208"/>
      <c r="AI87" s="208"/>
      <c r="AJ87" s="208"/>
      <c r="AK87" s="208"/>
      <c r="AL87" s="208"/>
      <c r="AM87" s="208"/>
    </row>
    <row r="88" spans="1:39" ht="13.8" x14ac:dyDescent="0.25">
      <c r="A88" s="206"/>
      <c r="H88" s="207"/>
      <c r="J88" s="3"/>
      <c r="AG88" s="208"/>
      <c r="AH88" s="208"/>
      <c r="AI88" s="208"/>
      <c r="AJ88" s="208"/>
      <c r="AK88" s="208"/>
      <c r="AL88" s="208"/>
      <c r="AM88" s="208"/>
    </row>
    <row r="89" spans="1:39" ht="13.8" x14ac:dyDescent="0.25">
      <c r="A89" s="206"/>
      <c r="H89" s="207"/>
      <c r="J89" s="3"/>
      <c r="AG89" s="208"/>
      <c r="AH89" s="208"/>
      <c r="AI89" s="208"/>
      <c r="AJ89" s="208"/>
      <c r="AK89" s="208"/>
      <c r="AL89" s="208"/>
      <c r="AM89" s="208"/>
    </row>
    <row r="90" spans="1:39" ht="13.8" x14ac:dyDescent="0.25">
      <c r="A90" s="206"/>
      <c r="H90" s="207"/>
      <c r="J90" s="3"/>
      <c r="AG90" s="208"/>
      <c r="AH90" s="208"/>
      <c r="AI90" s="208"/>
      <c r="AJ90" s="208"/>
      <c r="AK90" s="208"/>
      <c r="AL90" s="208"/>
      <c r="AM90" s="208"/>
    </row>
    <row r="91" spans="1:39" ht="13.8" x14ac:dyDescent="0.25">
      <c r="A91" s="206"/>
      <c r="H91" s="207"/>
      <c r="J91" s="3"/>
      <c r="AG91" s="208"/>
      <c r="AH91" s="208"/>
      <c r="AI91" s="208"/>
      <c r="AJ91" s="208"/>
      <c r="AK91" s="208"/>
      <c r="AL91" s="208"/>
      <c r="AM91" s="208"/>
    </row>
    <row r="92" spans="1:39" ht="13.8" x14ac:dyDescent="0.25">
      <c r="A92" s="206"/>
      <c r="H92" s="207"/>
      <c r="J92" s="3"/>
      <c r="AG92" s="208"/>
      <c r="AH92" s="208"/>
      <c r="AI92" s="208"/>
      <c r="AJ92" s="208"/>
      <c r="AK92" s="208"/>
      <c r="AL92" s="208"/>
      <c r="AM92" s="208"/>
    </row>
    <row r="93" spans="1:39" ht="13.8" x14ac:dyDescent="0.25">
      <c r="A93" s="206"/>
      <c r="H93" s="207"/>
      <c r="J93" s="3"/>
      <c r="AG93" s="208"/>
      <c r="AH93" s="208"/>
      <c r="AI93" s="208"/>
      <c r="AJ93" s="208"/>
      <c r="AK93" s="208"/>
      <c r="AL93" s="208"/>
      <c r="AM93" s="208"/>
    </row>
    <row r="94" spans="1:39" ht="13.8" x14ac:dyDescent="0.25">
      <c r="A94" s="206"/>
      <c r="H94" s="207"/>
      <c r="J94" s="3"/>
      <c r="AG94" s="208"/>
      <c r="AH94" s="208"/>
      <c r="AI94" s="208"/>
      <c r="AJ94" s="208"/>
      <c r="AK94" s="208"/>
      <c r="AL94" s="208"/>
      <c r="AM94" s="208"/>
    </row>
    <row r="95" spans="1:39" ht="13.8" x14ac:dyDescent="0.25">
      <c r="A95" s="206"/>
      <c r="H95" s="207"/>
      <c r="J95" s="3"/>
      <c r="AG95" s="208"/>
      <c r="AH95" s="208"/>
      <c r="AI95" s="208"/>
      <c r="AJ95" s="208"/>
      <c r="AK95" s="208"/>
      <c r="AL95" s="208"/>
      <c r="AM95" s="208"/>
    </row>
    <row r="96" spans="1:39" ht="13.8" x14ac:dyDescent="0.25">
      <c r="A96" s="206"/>
      <c r="H96" s="207"/>
      <c r="J96" s="3"/>
      <c r="AG96" s="208"/>
      <c r="AH96" s="208"/>
      <c r="AI96" s="208"/>
      <c r="AJ96" s="208"/>
      <c r="AK96" s="208"/>
      <c r="AL96" s="208"/>
      <c r="AM96" s="208"/>
    </row>
    <row r="97" spans="1:39" ht="13.8" x14ac:dyDescent="0.25">
      <c r="A97" s="206"/>
      <c r="H97" s="207"/>
      <c r="J97" s="3"/>
      <c r="AG97" s="208"/>
      <c r="AH97" s="208"/>
      <c r="AI97" s="208"/>
      <c r="AJ97" s="208"/>
      <c r="AK97" s="208"/>
      <c r="AL97" s="208"/>
      <c r="AM97" s="208"/>
    </row>
    <row r="98" spans="1:39" ht="13.8" x14ac:dyDescent="0.25">
      <c r="A98" s="206"/>
      <c r="H98" s="207"/>
      <c r="J98" s="3"/>
      <c r="AG98" s="208"/>
      <c r="AH98" s="208"/>
      <c r="AI98" s="208"/>
      <c r="AJ98" s="208"/>
      <c r="AK98" s="208"/>
      <c r="AL98" s="208"/>
      <c r="AM98" s="208"/>
    </row>
    <row r="99" spans="1:39" ht="13.8" x14ac:dyDescent="0.25">
      <c r="A99" s="206"/>
      <c r="H99" s="207"/>
      <c r="J99" s="3"/>
      <c r="AG99" s="208"/>
      <c r="AH99" s="208"/>
      <c r="AI99" s="208"/>
      <c r="AJ99" s="208"/>
      <c r="AK99" s="208"/>
      <c r="AL99" s="208"/>
      <c r="AM99" s="208"/>
    </row>
    <row r="100" spans="1:39" ht="13.8" x14ac:dyDescent="0.25">
      <c r="A100" s="206"/>
      <c r="H100" s="207"/>
      <c r="J100" s="3"/>
      <c r="AG100" s="208"/>
      <c r="AH100" s="208"/>
      <c r="AI100" s="208"/>
      <c r="AJ100" s="208"/>
      <c r="AK100" s="208"/>
      <c r="AL100" s="208"/>
      <c r="AM100" s="208"/>
    </row>
    <row r="101" spans="1:39" ht="13.8" x14ac:dyDescent="0.25">
      <c r="A101" s="206"/>
      <c r="H101" s="207"/>
      <c r="J101" s="3"/>
      <c r="AG101" s="208"/>
      <c r="AH101" s="208"/>
      <c r="AI101" s="208"/>
      <c r="AJ101" s="208"/>
      <c r="AK101" s="208"/>
      <c r="AL101" s="208"/>
      <c r="AM101" s="208"/>
    </row>
    <row r="102" spans="1:39" ht="13.8" x14ac:dyDescent="0.25">
      <c r="A102" s="206"/>
      <c r="H102" s="207"/>
      <c r="J102" s="3"/>
      <c r="AG102" s="208"/>
      <c r="AH102" s="208"/>
      <c r="AI102" s="208"/>
      <c r="AJ102" s="208"/>
      <c r="AK102" s="208"/>
      <c r="AL102" s="208"/>
      <c r="AM102" s="208"/>
    </row>
    <row r="103" spans="1:39" ht="13.8" x14ac:dyDescent="0.25">
      <c r="A103" s="206"/>
      <c r="H103" s="207"/>
      <c r="J103" s="3"/>
      <c r="AG103" s="208"/>
      <c r="AH103" s="208"/>
      <c r="AI103" s="208"/>
      <c r="AJ103" s="208"/>
      <c r="AK103" s="208"/>
      <c r="AL103" s="208"/>
      <c r="AM103" s="208"/>
    </row>
    <row r="104" spans="1:39" ht="13.8" x14ac:dyDescent="0.25">
      <c r="A104" s="206"/>
      <c r="H104" s="207"/>
      <c r="J104" s="3"/>
      <c r="AG104" s="208"/>
      <c r="AH104" s="208"/>
      <c r="AI104" s="208"/>
      <c r="AJ104" s="208"/>
      <c r="AK104" s="208"/>
      <c r="AL104" s="208"/>
      <c r="AM104" s="208"/>
    </row>
    <row r="105" spans="1:39" ht="13.8" x14ac:dyDescent="0.25">
      <c r="A105" s="206"/>
      <c r="H105" s="207"/>
      <c r="J105" s="3"/>
      <c r="AG105" s="208"/>
      <c r="AH105" s="208"/>
      <c r="AI105" s="208"/>
      <c r="AJ105" s="208"/>
      <c r="AK105" s="208"/>
      <c r="AL105" s="208"/>
      <c r="AM105" s="208"/>
    </row>
    <row r="106" spans="1:39" ht="13.8" x14ac:dyDescent="0.25">
      <c r="A106" s="206"/>
      <c r="H106" s="207"/>
      <c r="J106" s="3"/>
      <c r="AG106" s="208"/>
      <c r="AH106" s="208"/>
      <c r="AI106" s="208"/>
      <c r="AJ106" s="208"/>
      <c r="AK106" s="208"/>
      <c r="AL106" s="208"/>
      <c r="AM106" s="208"/>
    </row>
    <row r="107" spans="1:39" ht="13.8" x14ac:dyDescent="0.25">
      <c r="A107" s="206"/>
      <c r="H107" s="207"/>
      <c r="J107" s="3"/>
      <c r="AG107" s="208"/>
      <c r="AH107" s="208"/>
      <c r="AI107" s="208"/>
      <c r="AJ107" s="208"/>
      <c r="AK107" s="208"/>
      <c r="AL107" s="208"/>
      <c r="AM107" s="208"/>
    </row>
    <row r="108" spans="1:39" ht="13.8" x14ac:dyDescent="0.25">
      <c r="A108" s="206"/>
      <c r="H108" s="207"/>
      <c r="J108" s="3"/>
      <c r="AG108" s="208"/>
      <c r="AH108" s="208"/>
      <c r="AI108" s="208"/>
      <c r="AJ108" s="208"/>
      <c r="AK108" s="208"/>
      <c r="AL108" s="208"/>
      <c r="AM108" s="208"/>
    </row>
    <row r="109" spans="1:39" ht="13.8" x14ac:dyDescent="0.25">
      <c r="A109" s="206"/>
      <c r="H109" s="207"/>
      <c r="J109" s="3"/>
      <c r="AG109" s="208"/>
      <c r="AH109" s="208"/>
      <c r="AI109" s="208"/>
      <c r="AJ109" s="208"/>
      <c r="AK109" s="208"/>
      <c r="AL109" s="208"/>
      <c r="AM109" s="208"/>
    </row>
    <row r="110" spans="1:39" ht="13.8" x14ac:dyDescent="0.25">
      <c r="A110" s="206"/>
      <c r="H110" s="207"/>
      <c r="J110" s="3"/>
      <c r="AG110" s="208"/>
      <c r="AH110" s="208"/>
      <c r="AI110" s="208"/>
      <c r="AJ110" s="208"/>
      <c r="AK110" s="208"/>
      <c r="AL110" s="208"/>
      <c r="AM110" s="208"/>
    </row>
    <row r="111" spans="1:39" ht="13.8" x14ac:dyDescent="0.25">
      <c r="A111" s="206"/>
      <c r="H111" s="207"/>
      <c r="J111" s="3"/>
      <c r="AG111" s="208"/>
      <c r="AH111" s="208"/>
      <c r="AI111" s="208"/>
      <c r="AJ111" s="208"/>
      <c r="AK111" s="208"/>
      <c r="AL111" s="208"/>
      <c r="AM111" s="208"/>
    </row>
    <row r="112" spans="1:39" ht="13.8" x14ac:dyDescent="0.25">
      <c r="A112" s="206"/>
      <c r="H112" s="207"/>
      <c r="J112" s="3"/>
      <c r="AG112" s="208"/>
      <c r="AH112" s="208"/>
      <c r="AI112" s="208"/>
      <c r="AJ112" s="208"/>
      <c r="AK112" s="208"/>
      <c r="AL112" s="208"/>
      <c r="AM112" s="208"/>
    </row>
    <row r="113" spans="1:39" ht="13.8" x14ac:dyDescent="0.25">
      <c r="A113" s="206"/>
      <c r="H113" s="207"/>
      <c r="J113" s="3"/>
      <c r="AG113" s="208"/>
      <c r="AH113" s="208"/>
      <c r="AI113" s="208"/>
      <c r="AJ113" s="208"/>
      <c r="AK113" s="208"/>
      <c r="AL113" s="208"/>
      <c r="AM113" s="208"/>
    </row>
    <row r="114" spans="1:39" ht="13.8" x14ac:dyDescent="0.25">
      <c r="A114" s="206"/>
      <c r="H114" s="207"/>
      <c r="J114" s="3"/>
      <c r="AG114" s="208"/>
      <c r="AH114" s="208"/>
      <c r="AI114" s="208"/>
      <c r="AJ114" s="208"/>
      <c r="AK114" s="208"/>
      <c r="AL114" s="208"/>
      <c r="AM114" s="208"/>
    </row>
    <row r="115" spans="1:39" ht="13.8" x14ac:dyDescent="0.25">
      <c r="A115" s="206"/>
      <c r="H115" s="207"/>
      <c r="J115" s="3"/>
      <c r="AG115" s="208"/>
      <c r="AH115" s="208"/>
      <c r="AI115" s="208"/>
      <c r="AJ115" s="208"/>
      <c r="AK115" s="208"/>
      <c r="AL115" s="208"/>
      <c r="AM115" s="208"/>
    </row>
    <row r="116" spans="1:39" ht="13.8" x14ac:dyDescent="0.25">
      <c r="A116" s="206"/>
      <c r="H116" s="207"/>
      <c r="J116" s="3"/>
      <c r="AG116" s="208"/>
      <c r="AH116" s="208"/>
      <c r="AI116" s="208"/>
      <c r="AJ116" s="208"/>
      <c r="AK116" s="208"/>
      <c r="AL116" s="208"/>
      <c r="AM116" s="208"/>
    </row>
    <row r="117" spans="1:39" ht="13.8" x14ac:dyDescent="0.25">
      <c r="A117" s="206"/>
      <c r="H117" s="207"/>
      <c r="J117" s="3"/>
      <c r="AG117" s="208"/>
      <c r="AH117" s="208"/>
      <c r="AI117" s="208"/>
      <c r="AJ117" s="208"/>
      <c r="AK117" s="208"/>
      <c r="AL117" s="208"/>
      <c r="AM117" s="208"/>
    </row>
    <row r="118" spans="1:39" ht="13.8" x14ac:dyDescent="0.25">
      <c r="A118" s="206"/>
      <c r="H118" s="207"/>
      <c r="J118" s="3"/>
      <c r="AG118" s="208"/>
      <c r="AH118" s="208"/>
      <c r="AI118" s="208"/>
      <c r="AJ118" s="208"/>
      <c r="AK118" s="208"/>
      <c r="AL118" s="208"/>
      <c r="AM118" s="208"/>
    </row>
    <row r="119" spans="1:39" ht="13.8" x14ac:dyDescent="0.25">
      <c r="A119" s="206"/>
      <c r="H119" s="207"/>
      <c r="J119" s="3"/>
      <c r="AG119" s="208"/>
      <c r="AH119" s="208"/>
      <c r="AI119" s="208"/>
      <c r="AJ119" s="208"/>
      <c r="AK119" s="208"/>
      <c r="AL119" s="208"/>
      <c r="AM119" s="208"/>
    </row>
    <row r="120" spans="1:39" ht="13.8" x14ac:dyDescent="0.25">
      <c r="A120" s="206"/>
      <c r="H120" s="207"/>
      <c r="J120" s="3"/>
      <c r="AG120" s="208"/>
      <c r="AH120" s="208"/>
      <c r="AI120" s="208"/>
      <c r="AJ120" s="208"/>
      <c r="AK120" s="208"/>
      <c r="AL120" s="208"/>
      <c r="AM120" s="208"/>
    </row>
    <row r="121" spans="1:39" ht="13.8" x14ac:dyDescent="0.25">
      <c r="A121" s="206"/>
      <c r="H121" s="207"/>
      <c r="J121" s="3"/>
      <c r="AG121" s="208"/>
      <c r="AH121" s="208"/>
      <c r="AI121" s="208"/>
      <c r="AJ121" s="208"/>
      <c r="AK121" s="208"/>
      <c r="AL121" s="208"/>
      <c r="AM121" s="208"/>
    </row>
    <row r="122" spans="1:39" ht="13.8" x14ac:dyDescent="0.25">
      <c r="A122" s="206"/>
      <c r="H122" s="207"/>
      <c r="J122" s="3"/>
      <c r="AG122" s="208"/>
      <c r="AH122" s="208"/>
      <c r="AI122" s="208"/>
      <c r="AJ122" s="208"/>
      <c r="AK122" s="208"/>
      <c r="AL122" s="208"/>
      <c r="AM122" s="208"/>
    </row>
    <row r="123" spans="1:39" ht="13.8" x14ac:dyDescent="0.25">
      <c r="A123" s="206"/>
      <c r="H123" s="207"/>
      <c r="J123" s="3"/>
      <c r="AG123" s="208"/>
      <c r="AH123" s="208"/>
      <c r="AI123" s="208"/>
      <c r="AJ123" s="208"/>
      <c r="AK123" s="208"/>
      <c r="AL123" s="208"/>
      <c r="AM123" s="208"/>
    </row>
    <row r="124" spans="1:39" ht="13.8" x14ac:dyDescent="0.25">
      <c r="A124" s="206"/>
      <c r="H124" s="207"/>
      <c r="J124" s="3"/>
      <c r="AG124" s="208"/>
      <c r="AH124" s="208"/>
      <c r="AI124" s="208"/>
      <c r="AJ124" s="208"/>
      <c r="AK124" s="208"/>
      <c r="AL124" s="208"/>
      <c r="AM124" s="208"/>
    </row>
    <row r="125" spans="1:39" ht="13.8" x14ac:dyDescent="0.25">
      <c r="A125" s="206"/>
      <c r="H125" s="207"/>
      <c r="J125" s="3"/>
      <c r="AG125" s="208"/>
      <c r="AH125" s="208"/>
      <c r="AI125" s="208"/>
      <c r="AJ125" s="208"/>
      <c r="AK125" s="208"/>
      <c r="AL125" s="208"/>
      <c r="AM125" s="208"/>
    </row>
    <row r="126" spans="1:39" ht="13.8" x14ac:dyDescent="0.25">
      <c r="A126" s="206"/>
      <c r="H126" s="207"/>
      <c r="J126" s="3"/>
      <c r="AG126" s="208"/>
      <c r="AH126" s="208"/>
      <c r="AI126" s="208"/>
      <c r="AJ126" s="208"/>
      <c r="AK126" s="208"/>
      <c r="AL126" s="208"/>
      <c r="AM126" s="208"/>
    </row>
    <row r="127" spans="1:39" ht="13.8" x14ac:dyDescent="0.25">
      <c r="A127" s="206"/>
      <c r="H127" s="207"/>
      <c r="J127" s="3"/>
      <c r="AG127" s="208"/>
      <c r="AH127" s="208"/>
      <c r="AI127" s="208"/>
      <c r="AJ127" s="208"/>
      <c r="AK127" s="208"/>
      <c r="AL127" s="208"/>
      <c r="AM127" s="208"/>
    </row>
    <row r="128" spans="1:39" ht="13.8" x14ac:dyDescent="0.25">
      <c r="A128" s="206"/>
      <c r="H128" s="207"/>
      <c r="J128" s="3"/>
      <c r="AG128" s="208"/>
      <c r="AH128" s="208"/>
      <c r="AI128" s="208"/>
      <c r="AJ128" s="208"/>
      <c r="AK128" s="208"/>
      <c r="AL128" s="208"/>
      <c r="AM128" s="208"/>
    </row>
    <row r="129" spans="1:39" ht="13.8" x14ac:dyDescent="0.25">
      <c r="A129" s="206"/>
      <c r="H129" s="207"/>
      <c r="J129" s="3"/>
      <c r="AG129" s="208"/>
      <c r="AH129" s="208"/>
      <c r="AI129" s="208"/>
      <c r="AJ129" s="208"/>
      <c r="AK129" s="208"/>
      <c r="AL129" s="208"/>
      <c r="AM129" s="208"/>
    </row>
    <row r="130" spans="1:39" ht="13.8" x14ac:dyDescent="0.25">
      <c r="A130" s="206"/>
      <c r="H130" s="207"/>
      <c r="J130" s="3"/>
      <c r="AG130" s="208"/>
      <c r="AH130" s="208"/>
      <c r="AI130" s="208"/>
      <c r="AJ130" s="208"/>
      <c r="AK130" s="208"/>
      <c r="AL130" s="208"/>
      <c r="AM130" s="208"/>
    </row>
    <row r="131" spans="1:39" ht="13.8" x14ac:dyDescent="0.25">
      <c r="A131" s="206"/>
      <c r="H131" s="207"/>
      <c r="J131" s="3"/>
      <c r="AG131" s="208"/>
      <c r="AH131" s="208"/>
      <c r="AI131" s="208"/>
      <c r="AJ131" s="208"/>
      <c r="AK131" s="208"/>
      <c r="AL131" s="208"/>
      <c r="AM131" s="208"/>
    </row>
    <row r="132" spans="1:39" ht="13.8" x14ac:dyDescent="0.25">
      <c r="A132" s="206"/>
      <c r="H132" s="207"/>
      <c r="J132" s="3"/>
      <c r="AG132" s="208"/>
      <c r="AH132" s="208"/>
      <c r="AI132" s="208"/>
      <c r="AJ132" s="208"/>
      <c r="AK132" s="208"/>
      <c r="AL132" s="208"/>
      <c r="AM132" s="208"/>
    </row>
    <row r="133" spans="1:39" ht="13.8" x14ac:dyDescent="0.25">
      <c r="A133" s="206"/>
      <c r="H133" s="207"/>
      <c r="J133" s="3"/>
      <c r="AG133" s="208"/>
      <c r="AH133" s="208"/>
      <c r="AI133" s="208"/>
      <c r="AJ133" s="208"/>
      <c r="AK133" s="208"/>
      <c r="AL133" s="208"/>
      <c r="AM133" s="208"/>
    </row>
    <row r="134" spans="1:39" ht="13.8" x14ac:dyDescent="0.25">
      <c r="A134" s="206"/>
      <c r="H134" s="207"/>
      <c r="J134" s="3"/>
      <c r="AG134" s="208"/>
      <c r="AH134" s="208"/>
      <c r="AI134" s="208"/>
      <c r="AJ134" s="208"/>
      <c r="AK134" s="208"/>
      <c r="AL134" s="208"/>
      <c r="AM134" s="208"/>
    </row>
    <row r="135" spans="1:39" ht="13.8" x14ac:dyDescent="0.25">
      <c r="A135" s="206"/>
      <c r="H135" s="207"/>
      <c r="J135" s="3"/>
      <c r="AG135" s="208"/>
      <c r="AH135" s="208"/>
      <c r="AI135" s="208"/>
      <c r="AJ135" s="208"/>
      <c r="AK135" s="208"/>
      <c r="AL135" s="208"/>
      <c r="AM135" s="208"/>
    </row>
    <row r="136" spans="1:39" ht="13.8" x14ac:dyDescent="0.25">
      <c r="A136" s="206"/>
      <c r="H136" s="207"/>
      <c r="J136" s="3"/>
      <c r="AG136" s="208"/>
      <c r="AH136" s="208"/>
      <c r="AI136" s="208"/>
      <c r="AJ136" s="208"/>
      <c r="AK136" s="208"/>
      <c r="AL136" s="208"/>
      <c r="AM136" s="208"/>
    </row>
    <row r="137" spans="1:39" ht="13.8" x14ac:dyDescent="0.25">
      <c r="A137" s="206"/>
      <c r="H137" s="207"/>
      <c r="J137" s="3"/>
      <c r="AG137" s="208"/>
      <c r="AH137" s="208"/>
      <c r="AI137" s="208"/>
      <c r="AJ137" s="208"/>
      <c r="AK137" s="208"/>
      <c r="AL137" s="208"/>
      <c r="AM137" s="208"/>
    </row>
    <row r="138" spans="1:39" ht="13.8" x14ac:dyDescent="0.25">
      <c r="A138" s="206"/>
      <c r="H138" s="207"/>
      <c r="J138" s="3"/>
      <c r="AG138" s="208"/>
      <c r="AH138" s="208"/>
      <c r="AI138" s="208"/>
      <c r="AJ138" s="208"/>
      <c r="AK138" s="208"/>
      <c r="AL138" s="208"/>
      <c r="AM138" s="208"/>
    </row>
    <row r="139" spans="1:39" ht="13.8" x14ac:dyDescent="0.25">
      <c r="A139" s="206"/>
      <c r="H139" s="207"/>
      <c r="J139" s="3"/>
      <c r="AG139" s="208"/>
      <c r="AH139" s="208"/>
      <c r="AI139" s="208"/>
      <c r="AJ139" s="208"/>
      <c r="AK139" s="208"/>
      <c r="AL139" s="208"/>
      <c r="AM139" s="208"/>
    </row>
    <row r="140" spans="1:39" ht="13.8" x14ac:dyDescent="0.25">
      <c r="A140" s="206"/>
      <c r="H140" s="207"/>
      <c r="J140" s="3"/>
      <c r="AG140" s="208"/>
      <c r="AH140" s="208"/>
      <c r="AI140" s="208"/>
      <c r="AJ140" s="208"/>
      <c r="AK140" s="208"/>
      <c r="AL140" s="208"/>
      <c r="AM140" s="208"/>
    </row>
    <row r="141" spans="1:39" ht="13.8" x14ac:dyDescent="0.25">
      <c r="A141" s="206"/>
      <c r="H141" s="207"/>
      <c r="J141" s="3"/>
      <c r="AG141" s="208"/>
      <c r="AH141" s="208"/>
      <c r="AI141" s="208"/>
      <c r="AJ141" s="208"/>
      <c r="AK141" s="208"/>
      <c r="AL141" s="208"/>
      <c r="AM141" s="208"/>
    </row>
    <row r="142" spans="1:39" ht="13.8" x14ac:dyDescent="0.25">
      <c r="A142" s="206"/>
      <c r="H142" s="207"/>
      <c r="J142" s="3"/>
      <c r="AG142" s="208"/>
      <c r="AH142" s="208"/>
      <c r="AI142" s="208"/>
      <c r="AJ142" s="208"/>
      <c r="AK142" s="208"/>
      <c r="AL142" s="208"/>
      <c r="AM142" s="208"/>
    </row>
    <row r="143" spans="1:39" ht="13.8" x14ac:dyDescent="0.25">
      <c r="A143" s="206"/>
      <c r="H143" s="207"/>
      <c r="J143" s="3"/>
      <c r="AG143" s="208"/>
      <c r="AH143" s="208"/>
      <c r="AI143" s="208"/>
      <c r="AJ143" s="208"/>
      <c r="AK143" s="208"/>
      <c r="AL143" s="208"/>
      <c r="AM143" s="208"/>
    </row>
    <row r="144" spans="1:39" ht="13.8" x14ac:dyDescent="0.25">
      <c r="A144" s="206"/>
      <c r="H144" s="207"/>
      <c r="J144" s="3"/>
      <c r="AG144" s="208"/>
      <c r="AH144" s="208"/>
      <c r="AI144" s="208"/>
      <c r="AJ144" s="208"/>
      <c r="AK144" s="208"/>
      <c r="AL144" s="208"/>
      <c r="AM144" s="208"/>
    </row>
    <row r="145" spans="1:39" ht="13.8" x14ac:dyDescent="0.25">
      <c r="A145" s="206"/>
      <c r="H145" s="207"/>
      <c r="J145" s="3"/>
      <c r="AG145" s="208"/>
      <c r="AH145" s="208"/>
      <c r="AI145" s="208"/>
      <c r="AJ145" s="208"/>
      <c r="AK145" s="208"/>
      <c r="AL145" s="208"/>
      <c r="AM145" s="208"/>
    </row>
    <row r="146" spans="1:39" ht="13.8" x14ac:dyDescent="0.25">
      <c r="A146" s="206"/>
      <c r="H146" s="207"/>
      <c r="J146" s="3"/>
      <c r="AG146" s="208"/>
      <c r="AH146" s="208"/>
      <c r="AI146" s="208"/>
      <c r="AJ146" s="208"/>
      <c r="AK146" s="208"/>
      <c r="AL146" s="208"/>
      <c r="AM146" s="208"/>
    </row>
    <row r="147" spans="1:39" ht="13.8" x14ac:dyDescent="0.25">
      <c r="A147" s="206"/>
      <c r="H147" s="207"/>
      <c r="J147" s="3"/>
      <c r="AG147" s="208"/>
      <c r="AH147" s="208"/>
      <c r="AI147" s="208"/>
      <c r="AJ147" s="208"/>
      <c r="AK147" s="208"/>
      <c r="AL147" s="208"/>
      <c r="AM147" s="208"/>
    </row>
    <row r="148" spans="1:39" ht="13.8" x14ac:dyDescent="0.25">
      <c r="A148" s="206"/>
      <c r="H148" s="207"/>
      <c r="J148" s="3"/>
      <c r="AG148" s="208"/>
      <c r="AH148" s="208"/>
      <c r="AI148" s="208"/>
      <c r="AJ148" s="208"/>
      <c r="AK148" s="208"/>
      <c r="AL148" s="208"/>
      <c r="AM148" s="208"/>
    </row>
    <row r="149" spans="1:39" ht="13.8" x14ac:dyDescent="0.25">
      <c r="A149" s="206"/>
      <c r="H149" s="207"/>
      <c r="J149" s="3"/>
      <c r="AG149" s="208"/>
      <c r="AH149" s="208"/>
      <c r="AI149" s="208"/>
      <c r="AJ149" s="208"/>
      <c r="AK149" s="208"/>
      <c r="AL149" s="208"/>
      <c r="AM149" s="208"/>
    </row>
    <row r="150" spans="1:39" ht="13.8" x14ac:dyDescent="0.25">
      <c r="A150" s="206"/>
      <c r="H150" s="207"/>
      <c r="J150" s="3"/>
      <c r="AG150" s="208"/>
      <c r="AH150" s="208"/>
      <c r="AI150" s="208"/>
      <c r="AJ150" s="208"/>
      <c r="AK150" s="208"/>
      <c r="AL150" s="208"/>
      <c r="AM150" s="208"/>
    </row>
    <row r="151" spans="1:39" ht="13.8" x14ac:dyDescent="0.25">
      <c r="A151" s="206"/>
      <c r="H151" s="207"/>
      <c r="J151" s="3"/>
      <c r="AG151" s="208"/>
      <c r="AH151" s="208"/>
      <c r="AI151" s="208"/>
      <c r="AJ151" s="208"/>
      <c r="AK151" s="208"/>
      <c r="AL151" s="208"/>
      <c r="AM151" s="208"/>
    </row>
    <row r="152" spans="1:39" ht="13.8" x14ac:dyDescent="0.25">
      <c r="A152" s="206"/>
      <c r="H152" s="207"/>
      <c r="J152" s="3"/>
      <c r="AG152" s="208"/>
      <c r="AH152" s="208"/>
      <c r="AI152" s="208"/>
      <c r="AJ152" s="208"/>
      <c r="AK152" s="208"/>
      <c r="AL152" s="208"/>
      <c r="AM152" s="208"/>
    </row>
    <row r="153" spans="1:39" ht="13.8" x14ac:dyDescent="0.25">
      <c r="A153" s="206"/>
      <c r="H153" s="207"/>
      <c r="J153" s="3"/>
      <c r="AG153" s="208"/>
      <c r="AH153" s="208"/>
      <c r="AI153" s="208"/>
      <c r="AJ153" s="208"/>
      <c r="AK153" s="208"/>
      <c r="AL153" s="208"/>
      <c r="AM153" s="208"/>
    </row>
    <row r="154" spans="1:39" ht="13.8" x14ac:dyDescent="0.25">
      <c r="A154" s="206"/>
      <c r="H154" s="207"/>
      <c r="J154" s="3"/>
      <c r="AG154" s="208"/>
      <c r="AH154" s="208"/>
      <c r="AI154" s="208"/>
      <c r="AJ154" s="208"/>
      <c r="AK154" s="208"/>
      <c r="AL154" s="208"/>
      <c r="AM154" s="208"/>
    </row>
    <row r="155" spans="1:39" ht="13.8" x14ac:dyDescent="0.25">
      <c r="A155" s="206"/>
      <c r="H155" s="207"/>
      <c r="J155" s="3"/>
      <c r="AG155" s="208"/>
      <c r="AH155" s="208"/>
      <c r="AI155" s="208"/>
      <c r="AJ155" s="208"/>
      <c r="AK155" s="208"/>
      <c r="AL155" s="208"/>
      <c r="AM155" s="208"/>
    </row>
    <row r="156" spans="1:39" ht="13.8" x14ac:dyDescent="0.25">
      <c r="A156" s="206"/>
      <c r="H156" s="207"/>
      <c r="J156" s="3"/>
      <c r="AG156" s="208"/>
      <c r="AH156" s="208"/>
      <c r="AI156" s="208"/>
      <c r="AJ156" s="208"/>
      <c r="AK156" s="208"/>
      <c r="AL156" s="208"/>
      <c r="AM156" s="208"/>
    </row>
    <row r="157" spans="1:39" ht="13.8" x14ac:dyDescent="0.25">
      <c r="A157" s="206"/>
      <c r="H157" s="207"/>
      <c r="J157" s="3"/>
      <c r="AG157" s="208"/>
      <c r="AH157" s="208"/>
      <c r="AI157" s="208"/>
      <c r="AJ157" s="208"/>
      <c r="AK157" s="208"/>
      <c r="AL157" s="208"/>
      <c r="AM157" s="208"/>
    </row>
    <row r="158" spans="1:39" ht="13.8" x14ac:dyDescent="0.25">
      <c r="A158" s="206"/>
      <c r="H158" s="207"/>
      <c r="J158" s="3"/>
      <c r="AG158" s="208"/>
      <c r="AH158" s="208"/>
      <c r="AI158" s="208"/>
      <c r="AJ158" s="208"/>
      <c r="AK158" s="208"/>
      <c r="AL158" s="208"/>
      <c r="AM158" s="208"/>
    </row>
    <row r="159" spans="1:39" ht="13.8" x14ac:dyDescent="0.25">
      <c r="A159" s="206"/>
      <c r="H159" s="207"/>
      <c r="J159" s="3"/>
      <c r="AG159" s="208"/>
      <c r="AH159" s="208"/>
      <c r="AI159" s="208"/>
      <c r="AJ159" s="208"/>
      <c r="AK159" s="208"/>
      <c r="AL159" s="208"/>
      <c r="AM159" s="208"/>
    </row>
    <row r="160" spans="1:39" ht="13.8" x14ac:dyDescent="0.25">
      <c r="A160" s="206"/>
      <c r="H160" s="207"/>
      <c r="J160" s="3"/>
      <c r="AG160" s="208"/>
      <c r="AH160" s="208"/>
      <c r="AI160" s="208"/>
      <c r="AJ160" s="208"/>
      <c r="AK160" s="208"/>
      <c r="AL160" s="208"/>
      <c r="AM160" s="208"/>
    </row>
    <row r="161" spans="1:39" ht="13.8" x14ac:dyDescent="0.25">
      <c r="A161" s="206"/>
      <c r="H161" s="207"/>
      <c r="J161" s="3"/>
      <c r="AG161" s="208"/>
      <c r="AH161" s="208"/>
      <c r="AI161" s="208"/>
      <c r="AJ161" s="208"/>
      <c r="AK161" s="208"/>
      <c r="AL161" s="208"/>
      <c r="AM161" s="208"/>
    </row>
    <row r="162" spans="1:39" ht="13.8" x14ac:dyDescent="0.25">
      <c r="A162" s="206"/>
      <c r="H162" s="207"/>
      <c r="J162" s="3"/>
      <c r="AG162" s="208"/>
      <c r="AH162" s="208"/>
      <c r="AI162" s="208"/>
      <c r="AJ162" s="208"/>
      <c r="AK162" s="208"/>
      <c r="AL162" s="208"/>
      <c r="AM162" s="208"/>
    </row>
    <row r="163" spans="1:39" ht="13.8" x14ac:dyDescent="0.25">
      <c r="A163" s="206"/>
      <c r="H163" s="207"/>
      <c r="J163" s="3"/>
      <c r="AG163" s="208"/>
      <c r="AH163" s="208"/>
      <c r="AI163" s="208"/>
      <c r="AJ163" s="208"/>
      <c r="AK163" s="208"/>
      <c r="AL163" s="208"/>
      <c r="AM163" s="208"/>
    </row>
    <row r="164" spans="1:39" ht="13.8" x14ac:dyDescent="0.25">
      <c r="A164" s="206"/>
      <c r="H164" s="207"/>
      <c r="J164" s="3"/>
      <c r="AG164" s="208"/>
      <c r="AH164" s="208"/>
      <c r="AI164" s="208"/>
      <c r="AJ164" s="208"/>
      <c r="AK164" s="208"/>
      <c r="AL164" s="208"/>
      <c r="AM164" s="208"/>
    </row>
    <row r="165" spans="1:39" ht="13.8" x14ac:dyDescent="0.25">
      <c r="A165" s="206"/>
      <c r="H165" s="207"/>
      <c r="J165" s="3"/>
      <c r="AG165" s="208"/>
      <c r="AH165" s="208"/>
      <c r="AI165" s="208"/>
      <c r="AJ165" s="208"/>
      <c r="AK165" s="208"/>
      <c r="AL165" s="208"/>
      <c r="AM165" s="208"/>
    </row>
    <row r="166" spans="1:39" ht="13.8" x14ac:dyDescent="0.25">
      <c r="A166" s="206"/>
      <c r="H166" s="207"/>
      <c r="J166" s="3"/>
      <c r="AG166" s="208"/>
      <c r="AH166" s="208"/>
      <c r="AI166" s="208"/>
      <c r="AJ166" s="208"/>
      <c r="AK166" s="208"/>
      <c r="AL166" s="208"/>
      <c r="AM166" s="208"/>
    </row>
    <row r="167" spans="1:39" ht="13.8" x14ac:dyDescent="0.25">
      <c r="A167" s="206"/>
      <c r="H167" s="207"/>
      <c r="J167" s="3"/>
      <c r="AG167" s="208"/>
      <c r="AH167" s="208"/>
      <c r="AI167" s="208"/>
      <c r="AJ167" s="208"/>
      <c r="AK167" s="208"/>
      <c r="AL167" s="208"/>
      <c r="AM167" s="208"/>
    </row>
    <row r="168" spans="1:39" ht="13.8" x14ac:dyDescent="0.25">
      <c r="A168" s="206"/>
      <c r="H168" s="207"/>
      <c r="J168" s="3"/>
      <c r="AG168" s="208"/>
      <c r="AH168" s="208"/>
      <c r="AI168" s="208"/>
      <c r="AJ168" s="208"/>
      <c r="AK168" s="208"/>
      <c r="AL168" s="208"/>
      <c r="AM168" s="208"/>
    </row>
    <row r="169" spans="1:39" ht="13.8" x14ac:dyDescent="0.25">
      <c r="A169" s="206"/>
      <c r="H169" s="207"/>
      <c r="J169" s="3"/>
      <c r="AG169" s="208"/>
      <c r="AH169" s="208"/>
      <c r="AI169" s="208"/>
      <c r="AJ169" s="208"/>
      <c r="AK169" s="208"/>
      <c r="AL169" s="208"/>
      <c r="AM169" s="208"/>
    </row>
    <row r="170" spans="1:39" ht="13.8" x14ac:dyDescent="0.25">
      <c r="A170" s="206"/>
      <c r="H170" s="207"/>
      <c r="J170" s="3"/>
      <c r="AG170" s="208"/>
      <c r="AH170" s="208"/>
      <c r="AI170" s="208"/>
      <c r="AJ170" s="208"/>
      <c r="AK170" s="208"/>
      <c r="AL170" s="208"/>
      <c r="AM170" s="208"/>
    </row>
    <row r="171" spans="1:39" ht="13.8" x14ac:dyDescent="0.25">
      <c r="A171" s="206"/>
      <c r="H171" s="207"/>
      <c r="J171" s="3"/>
      <c r="AG171" s="208"/>
      <c r="AH171" s="208"/>
      <c r="AI171" s="208"/>
      <c r="AJ171" s="208"/>
      <c r="AK171" s="208"/>
      <c r="AL171" s="208"/>
      <c r="AM171" s="208"/>
    </row>
    <row r="172" spans="1:39" ht="13.8" x14ac:dyDescent="0.25">
      <c r="A172" s="206"/>
      <c r="H172" s="207"/>
      <c r="J172" s="3"/>
      <c r="AG172" s="208"/>
      <c r="AH172" s="208"/>
      <c r="AI172" s="208"/>
      <c r="AJ172" s="208"/>
      <c r="AK172" s="208"/>
      <c r="AL172" s="208"/>
      <c r="AM172" s="208"/>
    </row>
    <row r="173" spans="1:39" ht="13.8" x14ac:dyDescent="0.25">
      <c r="A173" s="206"/>
      <c r="H173" s="207"/>
      <c r="J173" s="3"/>
      <c r="AG173" s="208"/>
      <c r="AH173" s="208"/>
      <c r="AI173" s="208"/>
      <c r="AJ173" s="208"/>
      <c r="AK173" s="208"/>
      <c r="AL173" s="208"/>
      <c r="AM173" s="208"/>
    </row>
    <row r="174" spans="1:39" ht="13.8" x14ac:dyDescent="0.25">
      <c r="A174" s="206"/>
      <c r="H174" s="207"/>
      <c r="J174" s="3"/>
      <c r="AG174" s="208"/>
      <c r="AH174" s="208"/>
      <c r="AI174" s="208"/>
      <c r="AJ174" s="208"/>
      <c r="AK174" s="208"/>
      <c r="AL174" s="208"/>
      <c r="AM174" s="208"/>
    </row>
    <row r="175" spans="1:39" ht="13.8" x14ac:dyDescent="0.25">
      <c r="A175" s="206"/>
      <c r="H175" s="207"/>
      <c r="J175" s="3"/>
      <c r="AG175" s="208"/>
      <c r="AH175" s="208"/>
      <c r="AI175" s="208"/>
      <c r="AJ175" s="208"/>
      <c r="AK175" s="208"/>
      <c r="AL175" s="208"/>
      <c r="AM175" s="208"/>
    </row>
    <row r="176" spans="1:39" ht="13.8" x14ac:dyDescent="0.25">
      <c r="A176" s="206"/>
      <c r="H176" s="207"/>
      <c r="J176" s="3"/>
      <c r="AG176" s="208"/>
      <c r="AH176" s="208"/>
      <c r="AI176" s="208"/>
      <c r="AJ176" s="208"/>
      <c r="AK176" s="208"/>
      <c r="AL176" s="208"/>
      <c r="AM176" s="208"/>
    </row>
    <row r="177" spans="1:39" ht="13.8" x14ac:dyDescent="0.25">
      <c r="A177" s="206"/>
      <c r="H177" s="207"/>
      <c r="J177" s="3"/>
      <c r="AG177" s="208"/>
      <c r="AH177" s="208"/>
      <c r="AI177" s="208"/>
      <c r="AJ177" s="208"/>
      <c r="AK177" s="208"/>
      <c r="AL177" s="208"/>
      <c r="AM177" s="208"/>
    </row>
    <row r="178" spans="1:39" ht="13.8" x14ac:dyDescent="0.25">
      <c r="A178" s="206"/>
      <c r="H178" s="207"/>
      <c r="J178" s="3"/>
      <c r="AG178" s="208"/>
      <c r="AH178" s="208"/>
      <c r="AI178" s="208"/>
      <c r="AJ178" s="208"/>
      <c r="AK178" s="208"/>
      <c r="AL178" s="208"/>
      <c r="AM178" s="208"/>
    </row>
    <row r="179" spans="1:39" ht="13.8" x14ac:dyDescent="0.25">
      <c r="A179" s="206"/>
      <c r="H179" s="207"/>
      <c r="J179" s="3"/>
      <c r="AG179" s="208"/>
      <c r="AH179" s="208"/>
      <c r="AI179" s="208"/>
      <c r="AJ179" s="208"/>
      <c r="AK179" s="208"/>
      <c r="AL179" s="208"/>
      <c r="AM179" s="208"/>
    </row>
    <row r="180" spans="1:39" ht="13.8" x14ac:dyDescent="0.25">
      <c r="A180" s="206"/>
      <c r="H180" s="207"/>
      <c r="J180" s="3"/>
      <c r="AG180" s="208"/>
      <c r="AH180" s="208"/>
      <c r="AI180" s="208"/>
      <c r="AJ180" s="208"/>
      <c r="AK180" s="208"/>
      <c r="AL180" s="208"/>
      <c r="AM180" s="208"/>
    </row>
    <row r="181" spans="1:39" ht="13.8" x14ac:dyDescent="0.25">
      <c r="A181" s="206"/>
      <c r="H181" s="207"/>
      <c r="J181" s="3"/>
      <c r="AG181" s="208"/>
      <c r="AH181" s="208"/>
      <c r="AI181" s="208"/>
      <c r="AJ181" s="208"/>
      <c r="AK181" s="208"/>
      <c r="AL181" s="208"/>
      <c r="AM181" s="208"/>
    </row>
    <row r="182" spans="1:39" ht="13.8" x14ac:dyDescent="0.25">
      <c r="A182" s="206"/>
      <c r="H182" s="207"/>
      <c r="J182" s="3"/>
      <c r="AG182" s="208"/>
      <c r="AH182" s="208"/>
      <c r="AI182" s="208"/>
      <c r="AJ182" s="208"/>
      <c r="AK182" s="208"/>
      <c r="AL182" s="208"/>
      <c r="AM182" s="208"/>
    </row>
    <row r="183" spans="1:39" ht="13.8" x14ac:dyDescent="0.25">
      <c r="A183" s="206"/>
      <c r="H183" s="207"/>
      <c r="J183" s="3"/>
      <c r="AG183" s="208"/>
      <c r="AH183" s="208"/>
      <c r="AI183" s="208"/>
      <c r="AJ183" s="208"/>
      <c r="AK183" s="208"/>
      <c r="AL183" s="208"/>
      <c r="AM183" s="208"/>
    </row>
    <row r="184" spans="1:39" ht="13.8" x14ac:dyDescent="0.25">
      <c r="A184" s="206"/>
      <c r="H184" s="207"/>
      <c r="J184" s="3"/>
      <c r="AG184" s="208"/>
      <c r="AH184" s="208"/>
      <c r="AI184" s="208"/>
      <c r="AJ184" s="208"/>
      <c r="AK184" s="208"/>
      <c r="AL184" s="208"/>
      <c r="AM184" s="208"/>
    </row>
    <row r="185" spans="1:39" ht="13.8" x14ac:dyDescent="0.25">
      <c r="A185" s="206"/>
      <c r="H185" s="207"/>
      <c r="J185" s="3"/>
      <c r="AG185" s="208"/>
      <c r="AH185" s="208"/>
      <c r="AI185" s="208"/>
      <c r="AJ185" s="208"/>
      <c r="AK185" s="208"/>
      <c r="AL185" s="208"/>
      <c r="AM185" s="208"/>
    </row>
    <row r="186" spans="1:39" ht="13.8" x14ac:dyDescent="0.25">
      <c r="A186" s="206"/>
      <c r="H186" s="207"/>
      <c r="J186" s="3"/>
      <c r="AG186" s="208"/>
      <c r="AH186" s="208"/>
      <c r="AI186" s="208"/>
      <c r="AJ186" s="208"/>
      <c r="AK186" s="208"/>
      <c r="AL186" s="208"/>
      <c r="AM186" s="208"/>
    </row>
    <row r="187" spans="1:39" ht="13.8" x14ac:dyDescent="0.25">
      <c r="A187" s="206"/>
      <c r="H187" s="207"/>
      <c r="J187" s="3"/>
      <c r="AG187" s="208"/>
      <c r="AH187" s="208"/>
      <c r="AI187" s="208"/>
      <c r="AJ187" s="208"/>
      <c r="AK187" s="208"/>
      <c r="AL187" s="208"/>
      <c r="AM187" s="208"/>
    </row>
    <row r="188" spans="1:39" ht="13.8" x14ac:dyDescent="0.25">
      <c r="A188" s="206"/>
      <c r="H188" s="207"/>
      <c r="J188" s="3"/>
      <c r="AG188" s="208"/>
      <c r="AH188" s="208"/>
      <c r="AI188" s="208"/>
      <c r="AJ188" s="208"/>
      <c r="AK188" s="208"/>
      <c r="AL188" s="208"/>
      <c r="AM188" s="208"/>
    </row>
    <row r="189" spans="1:39" ht="13.8" x14ac:dyDescent="0.25">
      <c r="A189" s="206"/>
      <c r="H189" s="207"/>
      <c r="J189" s="3"/>
      <c r="AG189" s="208"/>
      <c r="AH189" s="208"/>
      <c r="AI189" s="208"/>
      <c r="AJ189" s="208"/>
      <c r="AK189" s="208"/>
      <c r="AL189" s="208"/>
      <c r="AM189" s="208"/>
    </row>
    <row r="190" spans="1:39" ht="13.8" x14ac:dyDescent="0.25">
      <c r="A190" s="206"/>
      <c r="H190" s="207"/>
      <c r="J190" s="3"/>
      <c r="AG190" s="208"/>
      <c r="AH190" s="208"/>
      <c r="AI190" s="208"/>
      <c r="AJ190" s="208"/>
      <c r="AK190" s="208"/>
      <c r="AL190" s="208"/>
      <c r="AM190" s="208"/>
    </row>
    <row r="191" spans="1:39" ht="13.8" x14ac:dyDescent="0.25">
      <c r="A191" s="206"/>
      <c r="H191" s="207"/>
      <c r="J191" s="3"/>
      <c r="AG191" s="208"/>
      <c r="AH191" s="208"/>
      <c r="AI191" s="208"/>
      <c r="AJ191" s="208"/>
      <c r="AK191" s="208"/>
      <c r="AL191" s="208"/>
      <c r="AM191" s="208"/>
    </row>
    <row r="192" spans="1:39" ht="13.8" x14ac:dyDescent="0.25">
      <c r="A192" s="206"/>
      <c r="H192" s="207"/>
      <c r="J192" s="3"/>
      <c r="AG192" s="208"/>
      <c r="AH192" s="208"/>
      <c r="AI192" s="208"/>
      <c r="AJ192" s="208"/>
      <c r="AK192" s="208"/>
      <c r="AL192" s="208"/>
      <c r="AM192" s="208"/>
    </row>
    <row r="193" spans="1:39" ht="13.8" x14ac:dyDescent="0.25">
      <c r="A193" s="206"/>
      <c r="H193" s="207"/>
      <c r="J193" s="3"/>
      <c r="AG193" s="208"/>
      <c r="AH193" s="208"/>
      <c r="AI193" s="208"/>
      <c r="AJ193" s="208"/>
      <c r="AK193" s="208"/>
      <c r="AL193" s="208"/>
      <c r="AM193" s="208"/>
    </row>
    <row r="194" spans="1:39" ht="13.8" x14ac:dyDescent="0.25">
      <c r="A194" s="206"/>
      <c r="H194" s="207"/>
      <c r="J194" s="3"/>
      <c r="AG194" s="208"/>
      <c r="AH194" s="208"/>
      <c r="AI194" s="208"/>
      <c r="AJ194" s="208"/>
      <c r="AK194" s="208"/>
      <c r="AL194" s="208"/>
      <c r="AM194" s="208"/>
    </row>
    <row r="195" spans="1:39" ht="13.8" x14ac:dyDescent="0.25">
      <c r="A195" s="206"/>
      <c r="H195" s="207"/>
      <c r="J195" s="3"/>
      <c r="AG195" s="208"/>
      <c r="AH195" s="208"/>
      <c r="AI195" s="208"/>
      <c r="AJ195" s="208"/>
      <c r="AK195" s="208"/>
      <c r="AL195" s="208"/>
      <c r="AM195" s="208"/>
    </row>
    <row r="196" spans="1:39" ht="13.8" x14ac:dyDescent="0.25">
      <c r="A196" s="206"/>
      <c r="H196" s="207"/>
      <c r="J196" s="3"/>
      <c r="AG196" s="208"/>
      <c r="AH196" s="208"/>
      <c r="AI196" s="208"/>
      <c r="AJ196" s="208"/>
      <c r="AK196" s="208"/>
      <c r="AL196" s="208"/>
      <c r="AM196" s="208"/>
    </row>
    <row r="197" spans="1:39" ht="13.8" x14ac:dyDescent="0.25">
      <c r="A197" s="206"/>
      <c r="H197" s="207"/>
      <c r="J197" s="3"/>
      <c r="AG197" s="208"/>
      <c r="AH197" s="208"/>
      <c r="AI197" s="208"/>
      <c r="AJ197" s="208"/>
      <c r="AK197" s="208"/>
      <c r="AL197" s="208"/>
      <c r="AM197" s="208"/>
    </row>
    <row r="198" spans="1:39" ht="13.8" x14ac:dyDescent="0.25">
      <c r="A198" s="206"/>
      <c r="H198" s="207"/>
      <c r="J198" s="3"/>
      <c r="AG198" s="208"/>
      <c r="AH198" s="208"/>
      <c r="AI198" s="208"/>
      <c r="AJ198" s="208"/>
      <c r="AK198" s="208"/>
      <c r="AL198" s="208"/>
      <c r="AM198" s="208"/>
    </row>
    <row r="199" spans="1:39" ht="13.8" x14ac:dyDescent="0.25">
      <c r="A199" s="206"/>
      <c r="H199" s="207"/>
      <c r="J199" s="3"/>
      <c r="AG199" s="208"/>
      <c r="AH199" s="208"/>
      <c r="AI199" s="208"/>
      <c r="AJ199" s="208"/>
      <c r="AK199" s="208"/>
      <c r="AL199" s="208"/>
      <c r="AM199" s="208"/>
    </row>
    <row r="200" spans="1:39" ht="13.8" x14ac:dyDescent="0.25">
      <c r="A200" s="206"/>
      <c r="H200" s="207"/>
      <c r="J200" s="3"/>
      <c r="AG200" s="208"/>
      <c r="AH200" s="208"/>
      <c r="AI200" s="208"/>
      <c r="AJ200" s="208"/>
      <c r="AK200" s="208"/>
      <c r="AL200" s="208"/>
      <c r="AM200" s="208"/>
    </row>
    <row r="201" spans="1:39" ht="13.8" x14ac:dyDescent="0.25">
      <c r="A201" s="206"/>
      <c r="H201" s="207"/>
      <c r="J201" s="3"/>
      <c r="AG201" s="208"/>
      <c r="AH201" s="208"/>
      <c r="AI201" s="208"/>
      <c r="AJ201" s="208"/>
      <c r="AK201" s="208"/>
      <c r="AL201" s="208"/>
      <c r="AM201" s="208"/>
    </row>
    <row r="202" spans="1:39" ht="13.8" x14ac:dyDescent="0.25">
      <c r="A202" s="206"/>
      <c r="H202" s="207"/>
      <c r="J202" s="3"/>
      <c r="AG202" s="208"/>
      <c r="AH202" s="208"/>
      <c r="AI202" s="208"/>
      <c r="AJ202" s="208"/>
      <c r="AK202" s="208"/>
      <c r="AL202" s="208"/>
      <c r="AM202" s="208"/>
    </row>
    <row r="203" spans="1:39" ht="13.8" x14ac:dyDescent="0.25">
      <c r="A203" s="206"/>
      <c r="H203" s="207"/>
      <c r="J203" s="3"/>
      <c r="AG203" s="208"/>
      <c r="AH203" s="208"/>
      <c r="AI203" s="208"/>
      <c r="AJ203" s="208"/>
      <c r="AK203" s="208"/>
      <c r="AL203" s="208"/>
      <c r="AM203" s="208"/>
    </row>
    <row r="204" spans="1:39" ht="13.8" x14ac:dyDescent="0.25">
      <c r="A204" s="206"/>
      <c r="H204" s="207"/>
      <c r="J204" s="3"/>
      <c r="AG204" s="208"/>
      <c r="AH204" s="208"/>
      <c r="AI204" s="208"/>
      <c r="AJ204" s="208"/>
      <c r="AK204" s="208"/>
      <c r="AL204" s="208"/>
      <c r="AM204" s="208"/>
    </row>
    <row r="205" spans="1:39" ht="13.8" x14ac:dyDescent="0.25">
      <c r="A205" s="206"/>
      <c r="H205" s="207"/>
      <c r="J205" s="3"/>
      <c r="AG205" s="208"/>
      <c r="AH205" s="208"/>
      <c r="AI205" s="208"/>
      <c r="AJ205" s="208"/>
      <c r="AK205" s="208"/>
      <c r="AL205" s="208"/>
      <c r="AM205" s="208"/>
    </row>
    <row r="206" spans="1:39" ht="13.8" x14ac:dyDescent="0.25">
      <c r="A206" s="206"/>
      <c r="H206" s="207"/>
      <c r="J206" s="3"/>
      <c r="AG206" s="208"/>
      <c r="AH206" s="208"/>
      <c r="AI206" s="208"/>
      <c r="AJ206" s="208"/>
      <c r="AK206" s="208"/>
      <c r="AL206" s="208"/>
      <c r="AM206" s="208"/>
    </row>
    <row r="207" spans="1:39" ht="13.8" x14ac:dyDescent="0.25">
      <c r="A207" s="206"/>
      <c r="H207" s="207"/>
      <c r="J207" s="3"/>
      <c r="AG207" s="208"/>
      <c r="AH207" s="208"/>
      <c r="AI207" s="208"/>
      <c r="AJ207" s="208"/>
      <c r="AK207" s="208"/>
      <c r="AL207" s="208"/>
      <c r="AM207" s="208"/>
    </row>
    <row r="208" spans="1:39" ht="13.8" x14ac:dyDescent="0.25">
      <c r="A208" s="206"/>
      <c r="H208" s="207"/>
      <c r="J208" s="3"/>
      <c r="AG208" s="208"/>
      <c r="AH208" s="208"/>
      <c r="AI208" s="208"/>
      <c r="AJ208" s="208"/>
      <c r="AK208" s="208"/>
      <c r="AL208" s="208"/>
      <c r="AM208" s="208"/>
    </row>
    <row r="209" spans="1:39" ht="13.8" x14ac:dyDescent="0.25">
      <c r="A209" s="206"/>
      <c r="H209" s="207"/>
      <c r="J209" s="3"/>
      <c r="AG209" s="208"/>
      <c r="AH209" s="208"/>
      <c r="AI209" s="208"/>
      <c r="AJ209" s="208"/>
      <c r="AK209" s="208"/>
      <c r="AL209" s="208"/>
      <c r="AM209" s="208"/>
    </row>
    <row r="210" spans="1:39" ht="13.8" x14ac:dyDescent="0.25">
      <c r="A210" s="206"/>
      <c r="H210" s="207"/>
      <c r="J210" s="3"/>
      <c r="AG210" s="208"/>
      <c r="AH210" s="208"/>
      <c r="AI210" s="208"/>
      <c r="AJ210" s="208"/>
      <c r="AK210" s="208"/>
      <c r="AL210" s="208"/>
      <c r="AM210" s="208"/>
    </row>
    <row r="211" spans="1:39" ht="13.8" x14ac:dyDescent="0.25">
      <c r="A211" s="206"/>
      <c r="H211" s="207"/>
      <c r="J211" s="3"/>
      <c r="AG211" s="208"/>
      <c r="AH211" s="208"/>
      <c r="AI211" s="208"/>
      <c r="AJ211" s="208"/>
      <c r="AK211" s="208"/>
      <c r="AL211" s="208"/>
      <c r="AM211" s="208"/>
    </row>
    <row r="212" spans="1:39" ht="13.8" x14ac:dyDescent="0.25">
      <c r="A212" s="206"/>
      <c r="H212" s="207"/>
      <c r="J212" s="3"/>
      <c r="AG212" s="208"/>
      <c r="AH212" s="208"/>
      <c r="AI212" s="208"/>
      <c r="AJ212" s="208"/>
      <c r="AK212" s="208"/>
      <c r="AL212" s="208"/>
      <c r="AM212" s="208"/>
    </row>
    <row r="213" spans="1:39" ht="13.8" x14ac:dyDescent="0.25">
      <c r="A213" s="206"/>
      <c r="H213" s="207"/>
      <c r="J213" s="3"/>
      <c r="AG213" s="208"/>
      <c r="AH213" s="208"/>
      <c r="AI213" s="208"/>
      <c r="AJ213" s="208"/>
      <c r="AK213" s="208"/>
      <c r="AL213" s="208"/>
      <c r="AM213" s="208"/>
    </row>
    <row r="214" spans="1:39" ht="13.8" x14ac:dyDescent="0.25">
      <c r="A214" s="206"/>
      <c r="H214" s="207"/>
      <c r="J214" s="3"/>
      <c r="AG214" s="208"/>
      <c r="AH214" s="208"/>
      <c r="AI214" s="208"/>
      <c r="AJ214" s="208"/>
      <c r="AK214" s="208"/>
      <c r="AL214" s="208"/>
      <c r="AM214" s="208"/>
    </row>
    <row r="215" spans="1:39" ht="13.8" x14ac:dyDescent="0.25">
      <c r="A215" s="206"/>
      <c r="H215" s="207"/>
      <c r="J215" s="3"/>
      <c r="AG215" s="208"/>
      <c r="AH215" s="208"/>
      <c r="AI215" s="208"/>
      <c r="AJ215" s="208"/>
      <c r="AK215" s="208"/>
      <c r="AL215" s="208"/>
      <c r="AM215" s="208"/>
    </row>
    <row r="216" spans="1:39" ht="13.8" x14ac:dyDescent="0.25">
      <c r="A216" s="206"/>
      <c r="H216" s="207"/>
      <c r="J216" s="3"/>
      <c r="AG216" s="208"/>
      <c r="AH216" s="208"/>
      <c r="AI216" s="208"/>
      <c r="AJ216" s="208"/>
      <c r="AK216" s="208"/>
      <c r="AL216" s="208"/>
      <c r="AM216" s="208"/>
    </row>
    <row r="217" spans="1:39" ht="13.8" x14ac:dyDescent="0.25">
      <c r="A217" s="206"/>
      <c r="H217" s="207"/>
      <c r="J217" s="3"/>
      <c r="AG217" s="208"/>
      <c r="AH217" s="208"/>
      <c r="AI217" s="208"/>
      <c r="AJ217" s="208"/>
      <c r="AK217" s="208"/>
      <c r="AL217" s="208"/>
      <c r="AM217" s="208"/>
    </row>
    <row r="218" spans="1:39" ht="13.8" x14ac:dyDescent="0.25">
      <c r="A218" s="206"/>
      <c r="H218" s="207"/>
      <c r="J218" s="3"/>
      <c r="AG218" s="208"/>
      <c r="AH218" s="208"/>
      <c r="AI218" s="208"/>
      <c r="AJ218" s="208"/>
      <c r="AK218" s="208"/>
      <c r="AL218" s="208"/>
      <c r="AM218" s="208"/>
    </row>
    <row r="219" spans="1:39" ht="13.8" x14ac:dyDescent="0.25">
      <c r="A219" s="206"/>
      <c r="H219" s="207"/>
      <c r="J219" s="3"/>
      <c r="AG219" s="208"/>
      <c r="AH219" s="208"/>
      <c r="AI219" s="208"/>
      <c r="AJ219" s="208"/>
      <c r="AK219" s="208"/>
      <c r="AL219" s="208"/>
      <c r="AM219" s="208"/>
    </row>
    <row r="220" spans="1:39" ht="13.8" x14ac:dyDescent="0.25">
      <c r="A220" s="206"/>
      <c r="H220" s="207"/>
      <c r="J220" s="3"/>
      <c r="AG220" s="208"/>
      <c r="AH220" s="208"/>
      <c r="AI220" s="208"/>
      <c r="AJ220" s="208"/>
      <c r="AK220" s="208"/>
      <c r="AL220" s="208"/>
      <c r="AM220" s="208"/>
    </row>
    <row r="221" spans="1:39" ht="13.8" x14ac:dyDescent="0.25">
      <c r="A221" s="206"/>
      <c r="H221" s="207"/>
      <c r="J221" s="3"/>
      <c r="AG221" s="208"/>
      <c r="AH221" s="208"/>
      <c r="AI221" s="208"/>
      <c r="AJ221" s="208"/>
      <c r="AK221" s="208"/>
      <c r="AL221" s="208"/>
      <c r="AM221" s="208"/>
    </row>
    <row r="222" spans="1:39" ht="13.8" x14ac:dyDescent="0.25">
      <c r="A222" s="206"/>
      <c r="H222" s="207"/>
      <c r="J222" s="3"/>
      <c r="AG222" s="208"/>
      <c r="AH222" s="208"/>
      <c r="AI222" s="208"/>
      <c r="AJ222" s="208"/>
      <c r="AK222" s="208"/>
      <c r="AL222" s="208"/>
      <c r="AM222" s="208"/>
    </row>
    <row r="223" spans="1:39" ht="13.8" x14ac:dyDescent="0.25">
      <c r="A223" s="206"/>
      <c r="H223" s="207"/>
      <c r="J223" s="3"/>
      <c r="AG223" s="208"/>
      <c r="AH223" s="208"/>
      <c r="AI223" s="208"/>
      <c r="AJ223" s="208"/>
      <c r="AK223" s="208"/>
      <c r="AL223" s="208"/>
      <c r="AM223" s="208"/>
    </row>
    <row r="224" spans="1:39" ht="13.8" x14ac:dyDescent="0.25">
      <c r="A224" s="206"/>
      <c r="H224" s="207"/>
      <c r="J224" s="3"/>
      <c r="AG224" s="208"/>
      <c r="AH224" s="208"/>
      <c r="AI224" s="208"/>
      <c r="AJ224" s="208"/>
      <c r="AK224" s="208"/>
      <c r="AL224" s="208"/>
      <c r="AM224" s="208"/>
    </row>
    <row r="225" spans="1:39" ht="13.8" x14ac:dyDescent="0.25">
      <c r="A225" s="206"/>
      <c r="H225" s="207"/>
      <c r="J225" s="3"/>
      <c r="AG225" s="208"/>
      <c r="AH225" s="208"/>
      <c r="AI225" s="208"/>
      <c r="AJ225" s="208"/>
      <c r="AK225" s="208"/>
      <c r="AL225" s="208"/>
      <c r="AM225" s="208"/>
    </row>
    <row r="226" spans="1:39" ht="13.8" x14ac:dyDescent="0.25">
      <c r="A226" s="206"/>
      <c r="H226" s="207"/>
      <c r="J226" s="3"/>
      <c r="AG226" s="208"/>
      <c r="AH226" s="208"/>
      <c r="AI226" s="208"/>
      <c r="AJ226" s="208"/>
      <c r="AK226" s="208"/>
      <c r="AL226" s="208"/>
      <c r="AM226" s="208"/>
    </row>
    <row r="227" spans="1:39" ht="13.8" x14ac:dyDescent="0.25">
      <c r="A227" s="206"/>
      <c r="H227" s="207"/>
      <c r="J227" s="3"/>
      <c r="AG227" s="208"/>
      <c r="AH227" s="208"/>
      <c r="AI227" s="208"/>
      <c r="AJ227" s="208"/>
      <c r="AK227" s="208"/>
      <c r="AL227" s="208"/>
      <c r="AM227" s="208"/>
    </row>
    <row r="228" spans="1:39" ht="13.8" x14ac:dyDescent="0.25">
      <c r="A228" s="206"/>
      <c r="H228" s="207"/>
      <c r="J228" s="3"/>
      <c r="AG228" s="208"/>
      <c r="AH228" s="208"/>
      <c r="AI228" s="208"/>
      <c r="AJ228" s="208"/>
      <c r="AK228" s="208"/>
      <c r="AL228" s="208"/>
      <c r="AM228" s="208"/>
    </row>
    <row r="229" spans="1:39" ht="13.8" x14ac:dyDescent="0.25">
      <c r="A229" s="206"/>
      <c r="H229" s="207"/>
      <c r="J229" s="3"/>
      <c r="AG229" s="208"/>
      <c r="AH229" s="208"/>
      <c r="AI229" s="208"/>
      <c r="AJ229" s="208"/>
      <c r="AK229" s="208"/>
      <c r="AL229" s="208"/>
      <c r="AM229" s="208"/>
    </row>
    <row r="230" spans="1:39" ht="13.8" x14ac:dyDescent="0.25">
      <c r="A230" s="206"/>
      <c r="H230" s="207"/>
      <c r="J230" s="3"/>
      <c r="AG230" s="208"/>
      <c r="AH230" s="208"/>
      <c r="AI230" s="208"/>
      <c r="AJ230" s="208"/>
      <c r="AK230" s="208"/>
      <c r="AL230" s="208"/>
      <c r="AM230" s="208"/>
    </row>
    <row r="231" spans="1:39" ht="13.8" x14ac:dyDescent="0.25">
      <c r="A231" s="206"/>
      <c r="H231" s="207"/>
      <c r="J231" s="3"/>
      <c r="AG231" s="208"/>
      <c r="AH231" s="208"/>
      <c r="AI231" s="208"/>
      <c r="AJ231" s="208"/>
      <c r="AK231" s="208"/>
      <c r="AL231" s="208"/>
      <c r="AM231" s="208"/>
    </row>
    <row r="232" spans="1:39" ht="13.8" x14ac:dyDescent="0.25">
      <c r="A232" s="206"/>
      <c r="H232" s="207"/>
      <c r="J232" s="3"/>
      <c r="AG232" s="208"/>
      <c r="AH232" s="208"/>
      <c r="AI232" s="208"/>
      <c r="AJ232" s="208"/>
      <c r="AK232" s="208"/>
      <c r="AL232" s="208"/>
      <c r="AM232" s="208"/>
    </row>
    <row r="233" spans="1:39" ht="13.8" x14ac:dyDescent="0.25">
      <c r="A233" s="206"/>
      <c r="H233" s="207"/>
      <c r="J233" s="3"/>
      <c r="AG233" s="208"/>
      <c r="AH233" s="208"/>
      <c r="AI233" s="208"/>
      <c r="AJ233" s="208"/>
      <c r="AK233" s="208"/>
      <c r="AL233" s="208"/>
      <c r="AM233" s="208"/>
    </row>
    <row r="234" spans="1:39" ht="13.8" x14ac:dyDescent="0.25">
      <c r="A234" s="206"/>
      <c r="H234" s="207"/>
      <c r="J234" s="3"/>
      <c r="AG234" s="208"/>
      <c r="AH234" s="208"/>
      <c r="AI234" s="208"/>
      <c r="AJ234" s="208"/>
      <c r="AK234" s="208"/>
      <c r="AL234" s="208"/>
      <c r="AM234" s="208"/>
    </row>
    <row r="235" spans="1:39" ht="13.8" x14ac:dyDescent="0.25">
      <c r="A235" s="206"/>
      <c r="H235" s="207"/>
      <c r="J235" s="3"/>
      <c r="AG235" s="208"/>
      <c r="AH235" s="208"/>
      <c r="AI235" s="208"/>
      <c r="AJ235" s="208"/>
      <c r="AK235" s="208"/>
      <c r="AL235" s="208"/>
      <c r="AM235" s="208"/>
    </row>
    <row r="236" spans="1:39" ht="13.8" x14ac:dyDescent="0.25">
      <c r="A236" s="206"/>
      <c r="H236" s="207"/>
      <c r="J236" s="3"/>
      <c r="AG236" s="208"/>
      <c r="AH236" s="208"/>
      <c r="AI236" s="208"/>
      <c r="AJ236" s="208"/>
      <c r="AK236" s="208"/>
      <c r="AL236" s="208"/>
      <c r="AM236" s="208"/>
    </row>
    <row r="237" spans="1:39" ht="13.8" x14ac:dyDescent="0.25">
      <c r="A237" s="206"/>
      <c r="H237" s="207"/>
      <c r="J237" s="3"/>
      <c r="AG237" s="208"/>
      <c r="AH237" s="208"/>
      <c r="AI237" s="208"/>
      <c r="AJ237" s="208"/>
      <c r="AK237" s="208"/>
      <c r="AL237" s="208"/>
      <c r="AM237" s="208"/>
    </row>
    <row r="238" spans="1:39" ht="13.8" x14ac:dyDescent="0.25">
      <c r="A238" s="206"/>
      <c r="H238" s="207"/>
      <c r="J238" s="3"/>
      <c r="AG238" s="208"/>
      <c r="AH238" s="208"/>
      <c r="AI238" s="208"/>
      <c r="AJ238" s="208"/>
      <c r="AK238" s="208"/>
      <c r="AL238" s="208"/>
      <c r="AM238" s="208"/>
    </row>
    <row r="239" spans="1:39" ht="13.8" x14ac:dyDescent="0.25">
      <c r="A239" s="206"/>
      <c r="H239" s="207"/>
      <c r="J239" s="3"/>
      <c r="AG239" s="208"/>
      <c r="AH239" s="208"/>
      <c r="AI239" s="208"/>
      <c r="AJ239" s="208"/>
      <c r="AK239" s="208"/>
      <c r="AL239" s="208"/>
      <c r="AM239" s="208"/>
    </row>
    <row r="240" spans="1:39" ht="13.8" x14ac:dyDescent="0.25">
      <c r="A240" s="206"/>
      <c r="H240" s="207"/>
      <c r="J240" s="3"/>
      <c r="AG240" s="208"/>
      <c r="AH240" s="208"/>
      <c r="AI240" s="208"/>
      <c r="AJ240" s="208"/>
      <c r="AK240" s="208"/>
      <c r="AL240" s="208"/>
      <c r="AM240" s="208"/>
    </row>
    <row r="241" spans="1:39" ht="13.8" x14ac:dyDescent="0.25">
      <c r="A241" s="206"/>
      <c r="H241" s="207"/>
      <c r="J241" s="3"/>
      <c r="AG241" s="208"/>
      <c r="AH241" s="208"/>
      <c r="AI241" s="208"/>
      <c r="AJ241" s="208"/>
      <c r="AK241" s="208"/>
      <c r="AL241" s="208"/>
      <c r="AM241" s="208"/>
    </row>
    <row r="242" spans="1:39" ht="13.8" x14ac:dyDescent="0.25">
      <c r="A242" s="206"/>
      <c r="H242" s="207"/>
      <c r="J242" s="3"/>
      <c r="AG242" s="208"/>
      <c r="AH242" s="208"/>
      <c r="AI242" s="208"/>
      <c r="AJ242" s="208"/>
      <c r="AK242" s="208"/>
      <c r="AL242" s="208"/>
      <c r="AM242" s="208"/>
    </row>
    <row r="243" spans="1:39" ht="13.8" x14ac:dyDescent="0.25">
      <c r="A243" s="206"/>
      <c r="H243" s="207"/>
      <c r="J243" s="3"/>
      <c r="AG243" s="208"/>
      <c r="AH243" s="208"/>
      <c r="AI243" s="208"/>
      <c r="AJ243" s="208"/>
      <c r="AK243" s="208"/>
      <c r="AL243" s="208"/>
      <c r="AM243" s="208"/>
    </row>
    <row r="244" spans="1:39" ht="13.8" x14ac:dyDescent="0.25">
      <c r="A244" s="206"/>
      <c r="H244" s="207"/>
      <c r="J244" s="3"/>
      <c r="AG244" s="208"/>
      <c r="AH244" s="208"/>
      <c r="AI244" s="208"/>
      <c r="AJ244" s="208"/>
      <c r="AK244" s="208"/>
      <c r="AL244" s="208"/>
      <c r="AM244" s="208"/>
    </row>
    <row r="245" spans="1:39" ht="13.8" x14ac:dyDescent="0.25">
      <c r="A245" s="206"/>
      <c r="H245" s="207"/>
      <c r="J245" s="3"/>
      <c r="AG245" s="208"/>
      <c r="AH245" s="208"/>
      <c r="AI245" s="208"/>
      <c r="AJ245" s="208"/>
      <c r="AK245" s="208"/>
      <c r="AL245" s="208"/>
      <c r="AM245" s="208"/>
    </row>
    <row r="246" spans="1:39" ht="13.8" x14ac:dyDescent="0.25">
      <c r="A246" s="206"/>
      <c r="H246" s="207"/>
      <c r="J246" s="3"/>
      <c r="AG246" s="208"/>
      <c r="AH246" s="208"/>
      <c r="AI246" s="208"/>
      <c r="AJ246" s="208"/>
      <c r="AK246" s="208"/>
      <c r="AL246" s="208"/>
      <c r="AM246" s="208"/>
    </row>
    <row r="247" spans="1:39" ht="13.8" x14ac:dyDescent="0.25">
      <c r="A247" s="206"/>
      <c r="H247" s="207"/>
      <c r="J247" s="3"/>
      <c r="AG247" s="208"/>
      <c r="AH247" s="208"/>
      <c r="AI247" s="208"/>
      <c r="AJ247" s="208"/>
      <c r="AK247" s="208"/>
      <c r="AL247" s="208"/>
      <c r="AM247" s="208"/>
    </row>
    <row r="248" spans="1:39" ht="13.8" x14ac:dyDescent="0.25">
      <c r="A248" s="206"/>
      <c r="H248" s="207"/>
      <c r="J248" s="3"/>
      <c r="AG248" s="208"/>
      <c r="AH248" s="208"/>
      <c r="AI248" s="208"/>
      <c r="AJ248" s="208"/>
      <c r="AK248" s="208"/>
      <c r="AL248" s="208"/>
      <c r="AM248" s="208"/>
    </row>
    <row r="249" spans="1:39" ht="13.8" x14ac:dyDescent="0.25">
      <c r="A249" s="206"/>
      <c r="H249" s="207"/>
      <c r="J249" s="3"/>
      <c r="AG249" s="208"/>
      <c r="AH249" s="208"/>
      <c r="AI249" s="208"/>
      <c r="AJ249" s="208"/>
      <c r="AK249" s="208"/>
      <c r="AL249" s="208"/>
      <c r="AM249" s="208"/>
    </row>
    <row r="250" spans="1:39" ht="13.8" x14ac:dyDescent="0.25">
      <c r="A250" s="206"/>
      <c r="H250" s="207"/>
      <c r="J250" s="3"/>
      <c r="AG250" s="208"/>
      <c r="AH250" s="208"/>
      <c r="AI250" s="208"/>
      <c r="AJ250" s="208"/>
      <c r="AK250" s="208"/>
      <c r="AL250" s="208"/>
      <c r="AM250" s="208"/>
    </row>
    <row r="251" spans="1:39" ht="13.8" x14ac:dyDescent="0.25">
      <c r="A251" s="206"/>
      <c r="H251" s="207"/>
      <c r="J251" s="3"/>
      <c r="AG251" s="208"/>
      <c r="AH251" s="208"/>
      <c r="AI251" s="208"/>
      <c r="AJ251" s="208"/>
      <c r="AK251" s="208"/>
      <c r="AL251" s="208"/>
      <c r="AM251" s="208"/>
    </row>
    <row r="252" spans="1:39" ht="13.8" x14ac:dyDescent="0.25">
      <c r="A252" s="206"/>
      <c r="H252" s="207"/>
      <c r="J252" s="3"/>
      <c r="AG252" s="208"/>
      <c r="AH252" s="208"/>
      <c r="AI252" s="208"/>
      <c r="AJ252" s="208"/>
      <c r="AK252" s="208"/>
      <c r="AL252" s="208"/>
      <c r="AM252" s="208"/>
    </row>
    <row r="253" spans="1:39" ht="13.8" x14ac:dyDescent="0.25">
      <c r="A253" s="206"/>
      <c r="H253" s="207"/>
      <c r="J253" s="3"/>
      <c r="AG253" s="208"/>
      <c r="AH253" s="208"/>
      <c r="AI253" s="208"/>
      <c r="AJ253" s="208"/>
      <c r="AK253" s="208"/>
      <c r="AL253" s="208"/>
      <c r="AM253" s="208"/>
    </row>
    <row r="254" spans="1:39" ht="13.8" x14ac:dyDescent="0.25">
      <c r="A254" s="206"/>
      <c r="H254" s="207"/>
      <c r="J254" s="3"/>
      <c r="AG254" s="208"/>
      <c r="AH254" s="208"/>
      <c r="AI254" s="208"/>
      <c r="AJ254" s="208"/>
      <c r="AK254" s="208"/>
      <c r="AL254" s="208"/>
      <c r="AM254" s="208"/>
    </row>
    <row r="255" spans="1:39" ht="13.8" x14ac:dyDescent="0.25">
      <c r="A255" s="206"/>
      <c r="H255" s="207"/>
      <c r="J255" s="3"/>
      <c r="AG255" s="208"/>
      <c r="AH255" s="208"/>
      <c r="AI255" s="208"/>
      <c r="AJ255" s="208"/>
      <c r="AK255" s="208"/>
      <c r="AL255" s="208"/>
      <c r="AM255" s="208"/>
    </row>
    <row r="256" spans="1:39" ht="13.8" x14ac:dyDescent="0.25">
      <c r="A256" s="206"/>
      <c r="H256" s="207"/>
      <c r="J256" s="3"/>
      <c r="AG256" s="208"/>
      <c r="AH256" s="208"/>
      <c r="AI256" s="208"/>
      <c r="AJ256" s="208"/>
      <c r="AK256" s="208"/>
      <c r="AL256" s="208"/>
      <c r="AM256" s="208"/>
    </row>
    <row r="257" spans="1:39" ht="13.8" x14ac:dyDescent="0.25">
      <c r="A257" s="206"/>
      <c r="H257" s="207"/>
      <c r="J257" s="3"/>
      <c r="AG257" s="208"/>
      <c r="AH257" s="208"/>
      <c r="AI257" s="208"/>
      <c r="AJ257" s="208"/>
      <c r="AK257" s="208"/>
      <c r="AL257" s="208"/>
      <c r="AM257" s="208"/>
    </row>
    <row r="258" spans="1:39" ht="13.8" x14ac:dyDescent="0.25">
      <c r="A258" s="206"/>
      <c r="H258" s="207"/>
      <c r="J258" s="3"/>
      <c r="AG258" s="208"/>
      <c r="AH258" s="208"/>
      <c r="AI258" s="208"/>
      <c r="AJ258" s="208"/>
      <c r="AK258" s="208"/>
      <c r="AL258" s="208"/>
      <c r="AM258" s="208"/>
    </row>
    <row r="259" spans="1:39" ht="13.8" x14ac:dyDescent="0.25">
      <c r="A259" s="206"/>
      <c r="H259" s="207"/>
      <c r="J259" s="3"/>
      <c r="AG259" s="208"/>
      <c r="AH259" s="208"/>
      <c r="AI259" s="208"/>
      <c r="AJ259" s="208"/>
      <c r="AK259" s="208"/>
      <c r="AL259" s="208"/>
      <c r="AM259" s="208"/>
    </row>
    <row r="260" spans="1:39" ht="13.8" x14ac:dyDescent="0.25">
      <c r="A260" s="206"/>
      <c r="H260" s="207"/>
      <c r="J260" s="3"/>
      <c r="AG260" s="208"/>
      <c r="AH260" s="208"/>
      <c r="AI260" s="208"/>
      <c r="AJ260" s="208"/>
      <c r="AK260" s="208"/>
      <c r="AL260" s="208"/>
      <c r="AM260" s="208"/>
    </row>
    <row r="261" spans="1:39" ht="13.8" x14ac:dyDescent="0.25">
      <c r="A261" s="206"/>
      <c r="H261" s="207"/>
      <c r="J261" s="3"/>
      <c r="AG261" s="208"/>
      <c r="AH261" s="208"/>
      <c r="AI261" s="208"/>
      <c r="AJ261" s="208"/>
      <c r="AK261" s="208"/>
      <c r="AL261" s="208"/>
      <c r="AM261" s="208"/>
    </row>
    <row r="262" spans="1:39" ht="13.8" x14ac:dyDescent="0.25">
      <c r="A262" s="206"/>
      <c r="H262" s="207"/>
      <c r="J262" s="3"/>
      <c r="AG262" s="208"/>
      <c r="AH262" s="208"/>
      <c r="AI262" s="208"/>
      <c r="AJ262" s="208"/>
      <c r="AK262" s="208"/>
      <c r="AL262" s="208"/>
      <c r="AM262" s="208"/>
    </row>
    <row r="263" spans="1:39" ht="13.8" x14ac:dyDescent="0.25">
      <c r="A263" s="206"/>
      <c r="H263" s="207"/>
      <c r="J263" s="3"/>
      <c r="AG263" s="208"/>
      <c r="AH263" s="208"/>
      <c r="AI263" s="208"/>
      <c r="AJ263" s="208"/>
      <c r="AK263" s="208"/>
      <c r="AL263" s="208"/>
      <c r="AM263" s="208"/>
    </row>
    <row r="264" spans="1:39" ht="13.8" x14ac:dyDescent="0.25">
      <c r="A264" s="206"/>
      <c r="H264" s="207"/>
      <c r="J264" s="3"/>
      <c r="AG264" s="208"/>
      <c r="AH264" s="208"/>
      <c r="AI264" s="208"/>
      <c r="AJ264" s="208"/>
      <c r="AK264" s="208"/>
      <c r="AL264" s="208"/>
      <c r="AM264" s="208"/>
    </row>
    <row r="265" spans="1:39" ht="13.8" x14ac:dyDescent="0.25">
      <c r="A265" s="206"/>
      <c r="H265" s="207"/>
      <c r="J265" s="3"/>
      <c r="AG265" s="208"/>
      <c r="AH265" s="208"/>
      <c r="AI265" s="208"/>
      <c r="AJ265" s="208"/>
      <c r="AK265" s="208"/>
      <c r="AL265" s="208"/>
      <c r="AM265" s="208"/>
    </row>
    <row r="266" spans="1:39" ht="13.8" x14ac:dyDescent="0.25">
      <c r="A266" s="206"/>
      <c r="H266" s="207"/>
      <c r="J266" s="3"/>
      <c r="AG266" s="208"/>
      <c r="AH266" s="208"/>
      <c r="AI266" s="208"/>
      <c r="AJ266" s="208"/>
      <c r="AK266" s="208"/>
      <c r="AL266" s="208"/>
      <c r="AM266" s="208"/>
    </row>
    <row r="267" spans="1:39" ht="13.8" x14ac:dyDescent="0.25">
      <c r="A267" s="206"/>
      <c r="H267" s="207"/>
      <c r="J267" s="3"/>
      <c r="AG267" s="208"/>
      <c r="AH267" s="208"/>
      <c r="AI267" s="208"/>
      <c r="AJ267" s="208"/>
      <c r="AK267" s="208"/>
      <c r="AL267" s="208"/>
      <c r="AM267" s="208"/>
    </row>
    <row r="268" spans="1:39" ht="13.8" x14ac:dyDescent="0.25">
      <c r="A268" s="206"/>
      <c r="H268" s="207"/>
      <c r="J268" s="3"/>
      <c r="AG268" s="208"/>
      <c r="AH268" s="208"/>
      <c r="AI268" s="208"/>
      <c r="AJ268" s="208"/>
      <c r="AK268" s="208"/>
      <c r="AL268" s="208"/>
      <c r="AM268" s="208"/>
    </row>
    <row r="269" spans="1:39" ht="13.8" x14ac:dyDescent="0.25">
      <c r="A269" s="206"/>
      <c r="H269" s="207"/>
      <c r="J269" s="3"/>
      <c r="AG269" s="208"/>
      <c r="AH269" s="208"/>
      <c r="AI269" s="208"/>
      <c r="AJ269" s="208"/>
      <c r="AK269" s="208"/>
      <c r="AL269" s="208"/>
      <c r="AM269" s="208"/>
    </row>
    <row r="270" spans="1:39" ht="13.8" x14ac:dyDescent="0.25">
      <c r="A270" s="206"/>
      <c r="H270" s="207"/>
      <c r="J270" s="3"/>
      <c r="AG270" s="208"/>
      <c r="AH270" s="208"/>
      <c r="AI270" s="208"/>
      <c r="AJ270" s="208"/>
      <c r="AK270" s="208"/>
      <c r="AL270" s="208"/>
      <c r="AM270" s="208"/>
    </row>
    <row r="271" spans="1:39" ht="13.8" x14ac:dyDescent="0.25">
      <c r="A271" s="206"/>
      <c r="H271" s="207"/>
      <c r="J271" s="3"/>
      <c r="AG271" s="208"/>
      <c r="AH271" s="208"/>
      <c r="AI271" s="208"/>
      <c r="AJ271" s="208"/>
      <c r="AK271" s="208"/>
      <c r="AL271" s="208"/>
      <c r="AM271" s="208"/>
    </row>
    <row r="272" spans="1:39" ht="13.8" x14ac:dyDescent="0.25">
      <c r="A272" s="206"/>
      <c r="H272" s="207"/>
      <c r="J272" s="3"/>
      <c r="AG272" s="208"/>
      <c r="AH272" s="208"/>
      <c r="AI272" s="208"/>
      <c r="AJ272" s="208"/>
      <c r="AK272" s="208"/>
      <c r="AL272" s="208"/>
      <c r="AM272" s="208"/>
    </row>
    <row r="273" spans="1:39" ht="13.8" x14ac:dyDescent="0.25">
      <c r="A273" s="206"/>
      <c r="H273" s="207"/>
      <c r="J273" s="3"/>
      <c r="AG273" s="208"/>
      <c r="AH273" s="208"/>
      <c r="AI273" s="208"/>
      <c r="AJ273" s="208"/>
      <c r="AK273" s="208"/>
      <c r="AL273" s="208"/>
      <c r="AM273" s="208"/>
    </row>
    <row r="274" spans="1:39" ht="13.8" x14ac:dyDescent="0.25">
      <c r="A274" s="206"/>
      <c r="H274" s="207"/>
      <c r="J274" s="3"/>
      <c r="AG274" s="208"/>
      <c r="AH274" s="208"/>
      <c r="AI274" s="208"/>
      <c r="AJ274" s="208"/>
      <c r="AK274" s="208"/>
      <c r="AL274" s="208"/>
      <c r="AM274" s="208"/>
    </row>
    <row r="275" spans="1:39" ht="13.8" x14ac:dyDescent="0.25">
      <c r="A275" s="206"/>
      <c r="H275" s="207"/>
      <c r="J275" s="3"/>
      <c r="AG275" s="208"/>
      <c r="AH275" s="208"/>
      <c r="AI275" s="208"/>
      <c r="AJ275" s="208"/>
      <c r="AK275" s="208"/>
      <c r="AL275" s="208"/>
      <c r="AM275" s="208"/>
    </row>
    <row r="276" spans="1:39" ht="13.8" x14ac:dyDescent="0.25">
      <c r="A276" s="206"/>
      <c r="H276" s="207"/>
      <c r="J276" s="3"/>
      <c r="AG276" s="208"/>
      <c r="AH276" s="208"/>
      <c r="AI276" s="208"/>
      <c r="AJ276" s="208"/>
      <c r="AK276" s="208"/>
      <c r="AL276" s="208"/>
      <c r="AM276" s="208"/>
    </row>
    <row r="277" spans="1:39" ht="13.8" x14ac:dyDescent="0.25">
      <c r="A277" s="206"/>
      <c r="H277" s="207"/>
      <c r="J277" s="3"/>
      <c r="AG277" s="208"/>
      <c r="AH277" s="208"/>
      <c r="AI277" s="208"/>
      <c r="AJ277" s="208"/>
      <c r="AK277" s="208"/>
      <c r="AL277" s="208"/>
      <c r="AM277" s="208"/>
    </row>
    <row r="278" spans="1:39" ht="13.8" x14ac:dyDescent="0.25">
      <c r="A278" s="206"/>
      <c r="H278" s="207"/>
      <c r="J278" s="3"/>
      <c r="AG278" s="208"/>
      <c r="AH278" s="208"/>
      <c r="AI278" s="208"/>
      <c r="AJ278" s="208"/>
      <c r="AK278" s="208"/>
      <c r="AL278" s="208"/>
      <c r="AM278" s="208"/>
    </row>
    <row r="279" spans="1:39" ht="13.8" x14ac:dyDescent="0.25">
      <c r="A279" s="206"/>
      <c r="H279" s="207"/>
      <c r="J279" s="3"/>
      <c r="AG279" s="208"/>
      <c r="AH279" s="208"/>
      <c r="AI279" s="208"/>
      <c r="AJ279" s="208"/>
      <c r="AK279" s="208"/>
      <c r="AL279" s="208"/>
      <c r="AM279" s="208"/>
    </row>
    <row r="280" spans="1:39" ht="13.8" x14ac:dyDescent="0.25">
      <c r="A280" s="206"/>
      <c r="H280" s="207"/>
      <c r="J280" s="3"/>
      <c r="AG280" s="208"/>
      <c r="AH280" s="208"/>
      <c r="AI280" s="208"/>
      <c r="AJ280" s="208"/>
      <c r="AK280" s="208"/>
      <c r="AL280" s="208"/>
      <c r="AM280" s="208"/>
    </row>
    <row r="281" spans="1:39" ht="13.8" x14ac:dyDescent="0.25">
      <c r="A281" s="206"/>
      <c r="H281" s="207"/>
      <c r="J281" s="3"/>
      <c r="AG281" s="208"/>
      <c r="AH281" s="208"/>
      <c r="AI281" s="208"/>
      <c r="AJ281" s="208"/>
      <c r="AK281" s="208"/>
      <c r="AL281" s="208"/>
      <c r="AM281" s="208"/>
    </row>
    <row r="282" spans="1:39" ht="13.8" x14ac:dyDescent="0.25">
      <c r="A282" s="206"/>
      <c r="H282" s="207"/>
      <c r="J282" s="3"/>
      <c r="AG282" s="208"/>
      <c r="AH282" s="208"/>
      <c r="AI282" s="208"/>
      <c r="AJ282" s="208"/>
      <c r="AK282" s="208"/>
      <c r="AL282" s="208"/>
      <c r="AM282" s="208"/>
    </row>
    <row r="283" spans="1:39" ht="13.8" x14ac:dyDescent="0.25">
      <c r="A283" s="206"/>
      <c r="H283" s="207"/>
      <c r="J283" s="3"/>
      <c r="AG283" s="208"/>
      <c r="AH283" s="208"/>
      <c r="AI283" s="208"/>
      <c r="AJ283" s="208"/>
      <c r="AK283" s="208"/>
      <c r="AL283" s="208"/>
      <c r="AM283" s="208"/>
    </row>
    <row r="284" spans="1:39" ht="13.8" x14ac:dyDescent="0.25">
      <c r="A284" s="206"/>
      <c r="H284" s="207"/>
      <c r="J284" s="3"/>
      <c r="AG284" s="208"/>
      <c r="AH284" s="208"/>
      <c r="AI284" s="208"/>
      <c r="AJ284" s="208"/>
      <c r="AK284" s="208"/>
      <c r="AL284" s="208"/>
      <c r="AM284" s="208"/>
    </row>
    <row r="285" spans="1:39" ht="13.8" x14ac:dyDescent="0.25">
      <c r="A285" s="206"/>
      <c r="H285" s="207"/>
      <c r="J285" s="3"/>
      <c r="AG285" s="208"/>
      <c r="AH285" s="208"/>
      <c r="AI285" s="208"/>
      <c r="AJ285" s="208"/>
      <c r="AK285" s="208"/>
      <c r="AL285" s="208"/>
      <c r="AM285" s="208"/>
    </row>
    <row r="286" spans="1:39" ht="13.8" x14ac:dyDescent="0.25">
      <c r="A286" s="206"/>
      <c r="H286" s="207"/>
      <c r="J286" s="3"/>
      <c r="AG286" s="208"/>
      <c r="AH286" s="208"/>
      <c r="AI286" s="208"/>
      <c r="AJ286" s="208"/>
      <c r="AK286" s="208"/>
      <c r="AL286" s="208"/>
      <c r="AM286" s="208"/>
    </row>
    <row r="287" spans="1:39" ht="13.8" x14ac:dyDescent="0.25">
      <c r="A287" s="206"/>
      <c r="H287" s="207"/>
      <c r="J287" s="3"/>
      <c r="AG287" s="208"/>
      <c r="AH287" s="208"/>
      <c r="AI287" s="208"/>
      <c r="AJ287" s="208"/>
      <c r="AK287" s="208"/>
      <c r="AL287" s="208"/>
      <c r="AM287" s="208"/>
    </row>
    <row r="288" spans="1:39" ht="13.8" x14ac:dyDescent="0.25">
      <c r="A288" s="206"/>
      <c r="H288" s="207"/>
      <c r="J288" s="3"/>
      <c r="AG288" s="208"/>
      <c r="AH288" s="208"/>
      <c r="AI288" s="208"/>
      <c r="AJ288" s="208"/>
      <c r="AK288" s="208"/>
      <c r="AL288" s="208"/>
      <c r="AM288" s="208"/>
    </row>
    <row r="289" spans="1:39" ht="13.8" x14ac:dyDescent="0.25">
      <c r="A289" s="206"/>
      <c r="H289" s="207"/>
      <c r="J289" s="3"/>
      <c r="AG289" s="208"/>
      <c r="AH289" s="208"/>
      <c r="AI289" s="208"/>
      <c r="AJ289" s="208"/>
      <c r="AK289" s="208"/>
      <c r="AL289" s="208"/>
      <c r="AM289" s="208"/>
    </row>
    <row r="290" spans="1:39" ht="13.8" x14ac:dyDescent="0.25">
      <c r="A290" s="206"/>
      <c r="H290" s="207"/>
      <c r="J290" s="3"/>
      <c r="AG290" s="208"/>
      <c r="AH290" s="208"/>
      <c r="AI290" s="208"/>
      <c r="AJ290" s="208"/>
      <c r="AK290" s="208"/>
      <c r="AL290" s="208"/>
      <c r="AM290" s="208"/>
    </row>
    <row r="291" spans="1:39" ht="13.8" x14ac:dyDescent="0.25">
      <c r="A291" s="206"/>
      <c r="H291" s="207"/>
      <c r="J291" s="3"/>
      <c r="AG291" s="208"/>
      <c r="AH291" s="208"/>
      <c r="AI291" s="208"/>
      <c r="AJ291" s="208"/>
      <c r="AK291" s="208"/>
      <c r="AL291" s="208"/>
      <c r="AM291" s="208"/>
    </row>
    <row r="292" spans="1:39" ht="13.8" x14ac:dyDescent="0.25">
      <c r="A292" s="206"/>
      <c r="H292" s="207"/>
      <c r="J292" s="3"/>
      <c r="AG292" s="208"/>
      <c r="AH292" s="208"/>
      <c r="AI292" s="208"/>
      <c r="AJ292" s="208"/>
      <c r="AK292" s="208"/>
      <c r="AL292" s="208"/>
      <c r="AM292" s="208"/>
    </row>
    <row r="293" spans="1:39" ht="13.8" x14ac:dyDescent="0.25">
      <c r="A293" s="206"/>
      <c r="H293" s="207"/>
      <c r="J293" s="3"/>
      <c r="AG293" s="208"/>
      <c r="AH293" s="208"/>
      <c r="AI293" s="208"/>
      <c r="AJ293" s="208"/>
      <c r="AK293" s="208"/>
      <c r="AL293" s="208"/>
      <c r="AM293" s="208"/>
    </row>
    <row r="294" spans="1:39" ht="13.8" x14ac:dyDescent="0.25">
      <c r="A294" s="206"/>
      <c r="H294" s="207"/>
      <c r="J294" s="3"/>
      <c r="AG294" s="208"/>
      <c r="AH294" s="208"/>
      <c r="AI294" s="208"/>
      <c r="AJ294" s="208"/>
      <c r="AK294" s="208"/>
      <c r="AL294" s="208"/>
      <c r="AM294" s="208"/>
    </row>
    <row r="295" spans="1:39" ht="13.8" x14ac:dyDescent="0.25">
      <c r="A295" s="206"/>
      <c r="H295" s="207"/>
      <c r="J295" s="3"/>
      <c r="AG295" s="208"/>
      <c r="AH295" s="208"/>
      <c r="AI295" s="208"/>
      <c r="AJ295" s="208"/>
      <c r="AK295" s="208"/>
      <c r="AL295" s="208"/>
      <c r="AM295" s="208"/>
    </row>
    <row r="296" spans="1:39" ht="13.8" x14ac:dyDescent="0.25">
      <c r="A296" s="206"/>
      <c r="H296" s="207"/>
      <c r="J296" s="3"/>
      <c r="AG296" s="208"/>
      <c r="AH296" s="208"/>
      <c r="AI296" s="208"/>
      <c r="AJ296" s="208"/>
      <c r="AK296" s="208"/>
      <c r="AL296" s="208"/>
      <c r="AM296" s="208"/>
    </row>
    <row r="297" spans="1:39" ht="13.8" x14ac:dyDescent="0.25">
      <c r="A297" s="206"/>
      <c r="H297" s="207"/>
      <c r="J297" s="3"/>
      <c r="AG297" s="208"/>
      <c r="AH297" s="208"/>
      <c r="AI297" s="208"/>
      <c r="AJ297" s="208"/>
      <c r="AK297" s="208"/>
      <c r="AL297" s="208"/>
      <c r="AM297" s="208"/>
    </row>
    <row r="298" spans="1:39" ht="13.8" x14ac:dyDescent="0.25">
      <c r="A298" s="206"/>
      <c r="H298" s="207"/>
      <c r="J298" s="3"/>
      <c r="AG298" s="208"/>
      <c r="AH298" s="208"/>
      <c r="AI298" s="208"/>
      <c r="AJ298" s="208"/>
      <c r="AK298" s="208"/>
      <c r="AL298" s="208"/>
      <c r="AM298" s="208"/>
    </row>
    <row r="299" spans="1:39" ht="13.8" x14ac:dyDescent="0.25">
      <c r="A299" s="206"/>
      <c r="H299" s="207"/>
      <c r="J299" s="3"/>
      <c r="AG299" s="208"/>
      <c r="AH299" s="208"/>
      <c r="AI299" s="208"/>
      <c r="AJ299" s="208"/>
      <c r="AK299" s="208"/>
      <c r="AL299" s="208"/>
      <c r="AM299" s="208"/>
    </row>
    <row r="300" spans="1:39" ht="13.8" x14ac:dyDescent="0.25">
      <c r="A300" s="206"/>
      <c r="H300" s="207"/>
      <c r="J300" s="3"/>
      <c r="AG300" s="208"/>
      <c r="AH300" s="208"/>
      <c r="AI300" s="208"/>
      <c r="AJ300" s="208"/>
      <c r="AK300" s="208"/>
      <c r="AL300" s="208"/>
      <c r="AM300" s="208"/>
    </row>
    <row r="301" spans="1:39" ht="13.8" x14ac:dyDescent="0.25">
      <c r="A301" s="206"/>
      <c r="H301" s="207"/>
      <c r="J301" s="3"/>
      <c r="AG301" s="208"/>
      <c r="AH301" s="208"/>
      <c r="AI301" s="208"/>
      <c r="AJ301" s="208"/>
      <c r="AK301" s="208"/>
      <c r="AL301" s="208"/>
      <c r="AM301" s="208"/>
    </row>
    <row r="302" spans="1:39" ht="13.8" x14ac:dyDescent="0.25">
      <c r="A302" s="206"/>
      <c r="H302" s="207"/>
      <c r="J302" s="3"/>
      <c r="AG302" s="208"/>
      <c r="AH302" s="208"/>
      <c r="AI302" s="208"/>
      <c r="AJ302" s="208"/>
      <c r="AK302" s="208"/>
      <c r="AL302" s="208"/>
      <c r="AM302" s="208"/>
    </row>
    <row r="303" spans="1:39" ht="13.8" x14ac:dyDescent="0.25">
      <c r="A303" s="206"/>
      <c r="H303" s="207"/>
      <c r="J303" s="3"/>
      <c r="AG303" s="208"/>
      <c r="AH303" s="208"/>
      <c r="AI303" s="208"/>
      <c r="AJ303" s="208"/>
      <c r="AK303" s="208"/>
      <c r="AL303" s="208"/>
      <c r="AM303" s="208"/>
    </row>
    <row r="304" spans="1:39" ht="13.8" x14ac:dyDescent="0.25">
      <c r="A304" s="206"/>
      <c r="H304" s="207"/>
      <c r="J304" s="3"/>
      <c r="AG304" s="208"/>
      <c r="AH304" s="208"/>
      <c r="AI304" s="208"/>
      <c r="AJ304" s="208"/>
      <c r="AK304" s="208"/>
      <c r="AL304" s="208"/>
      <c r="AM304" s="208"/>
    </row>
    <row r="305" spans="1:39" ht="13.8" x14ac:dyDescent="0.25">
      <c r="A305" s="206"/>
      <c r="H305" s="207"/>
      <c r="J305" s="3"/>
      <c r="AG305" s="208"/>
      <c r="AH305" s="208"/>
      <c r="AI305" s="208"/>
      <c r="AJ305" s="208"/>
      <c r="AK305" s="208"/>
      <c r="AL305" s="208"/>
      <c r="AM305" s="208"/>
    </row>
    <row r="306" spans="1:39" ht="13.8" x14ac:dyDescent="0.25">
      <c r="A306" s="206"/>
      <c r="H306" s="207"/>
      <c r="J306" s="3"/>
      <c r="AG306" s="208"/>
      <c r="AH306" s="208"/>
      <c r="AI306" s="208"/>
      <c r="AJ306" s="208"/>
      <c r="AK306" s="208"/>
      <c r="AL306" s="208"/>
      <c r="AM306" s="208"/>
    </row>
    <row r="307" spans="1:39" ht="13.8" x14ac:dyDescent="0.25">
      <c r="A307" s="206"/>
      <c r="H307" s="207"/>
      <c r="J307" s="3"/>
      <c r="AG307" s="208"/>
      <c r="AH307" s="208"/>
      <c r="AI307" s="208"/>
      <c r="AJ307" s="208"/>
      <c r="AK307" s="208"/>
      <c r="AL307" s="208"/>
      <c r="AM307" s="208"/>
    </row>
    <row r="308" spans="1:39" ht="13.8" x14ac:dyDescent="0.25">
      <c r="A308" s="206"/>
      <c r="H308" s="207"/>
      <c r="J308" s="3"/>
      <c r="AG308" s="208"/>
      <c r="AH308" s="208"/>
      <c r="AI308" s="208"/>
      <c r="AJ308" s="208"/>
      <c r="AK308" s="208"/>
      <c r="AL308" s="208"/>
      <c r="AM308" s="208"/>
    </row>
    <row r="309" spans="1:39" ht="13.8" x14ac:dyDescent="0.25">
      <c r="A309" s="206"/>
      <c r="H309" s="207"/>
      <c r="J309" s="3"/>
      <c r="AG309" s="208"/>
      <c r="AH309" s="208"/>
      <c r="AI309" s="208"/>
      <c r="AJ309" s="208"/>
      <c r="AK309" s="208"/>
      <c r="AL309" s="208"/>
      <c r="AM309" s="208"/>
    </row>
    <row r="310" spans="1:39" ht="13.8" x14ac:dyDescent="0.25">
      <c r="A310" s="206"/>
      <c r="H310" s="207"/>
      <c r="J310" s="3"/>
      <c r="AG310" s="208"/>
      <c r="AH310" s="208"/>
      <c r="AI310" s="208"/>
      <c r="AJ310" s="208"/>
      <c r="AK310" s="208"/>
      <c r="AL310" s="208"/>
      <c r="AM310" s="208"/>
    </row>
    <row r="311" spans="1:39" ht="13.8" x14ac:dyDescent="0.25">
      <c r="A311" s="206"/>
      <c r="H311" s="207"/>
      <c r="J311" s="3"/>
      <c r="AG311" s="208"/>
      <c r="AH311" s="208"/>
      <c r="AI311" s="208"/>
      <c r="AJ311" s="208"/>
      <c r="AK311" s="208"/>
      <c r="AL311" s="208"/>
      <c r="AM311" s="208"/>
    </row>
    <row r="312" spans="1:39" ht="13.8" x14ac:dyDescent="0.25">
      <c r="A312" s="206"/>
      <c r="H312" s="207"/>
      <c r="J312" s="3"/>
      <c r="AG312" s="208"/>
      <c r="AH312" s="208"/>
      <c r="AI312" s="208"/>
      <c r="AJ312" s="208"/>
      <c r="AK312" s="208"/>
      <c r="AL312" s="208"/>
      <c r="AM312" s="208"/>
    </row>
    <row r="313" spans="1:39" ht="13.8" x14ac:dyDescent="0.25">
      <c r="A313" s="206"/>
      <c r="H313" s="207"/>
      <c r="J313" s="3"/>
      <c r="AG313" s="208"/>
      <c r="AH313" s="208"/>
      <c r="AI313" s="208"/>
      <c r="AJ313" s="208"/>
      <c r="AK313" s="208"/>
      <c r="AL313" s="208"/>
      <c r="AM313" s="208"/>
    </row>
    <row r="314" spans="1:39" ht="13.8" x14ac:dyDescent="0.25">
      <c r="A314" s="206"/>
      <c r="H314" s="207"/>
      <c r="J314" s="3"/>
      <c r="AG314" s="208"/>
      <c r="AH314" s="208"/>
      <c r="AI314" s="208"/>
      <c r="AJ314" s="208"/>
      <c r="AK314" s="208"/>
      <c r="AL314" s="208"/>
      <c r="AM314" s="208"/>
    </row>
    <row r="315" spans="1:39" ht="13.8" x14ac:dyDescent="0.25">
      <c r="A315" s="206"/>
      <c r="H315" s="207"/>
      <c r="J315" s="3"/>
      <c r="AG315" s="208"/>
      <c r="AH315" s="208"/>
      <c r="AI315" s="208"/>
      <c r="AJ315" s="208"/>
      <c r="AK315" s="208"/>
      <c r="AL315" s="208"/>
      <c r="AM315" s="208"/>
    </row>
    <row r="316" spans="1:39" ht="13.8" x14ac:dyDescent="0.25">
      <c r="A316" s="206"/>
      <c r="H316" s="207"/>
      <c r="J316" s="3"/>
      <c r="AG316" s="208"/>
      <c r="AH316" s="208"/>
      <c r="AI316" s="208"/>
      <c r="AJ316" s="208"/>
      <c r="AK316" s="208"/>
      <c r="AL316" s="208"/>
      <c r="AM316" s="208"/>
    </row>
    <row r="317" spans="1:39" ht="13.8" x14ac:dyDescent="0.25">
      <c r="A317" s="206"/>
      <c r="H317" s="207"/>
      <c r="J317" s="3"/>
      <c r="AG317" s="208"/>
      <c r="AH317" s="208"/>
      <c r="AI317" s="208"/>
      <c r="AJ317" s="208"/>
      <c r="AK317" s="208"/>
      <c r="AL317" s="208"/>
      <c r="AM317" s="208"/>
    </row>
    <row r="318" spans="1:39" ht="13.8" x14ac:dyDescent="0.25">
      <c r="A318" s="206"/>
      <c r="H318" s="207"/>
      <c r="J318" s="3"/>
      <c r="AG318" s="208"/>
      <c r="AH318" s="208"/>
      <c r="AI318" s="208"/>
      <c r="AJ318" s="208"/>
      <c r="AK318" s="208"/>
      <c r="AL318" s="208"/>
      <c r="AM318" s="208"/>
    </row>
    <row r="319" spans="1:39" ht="13.8" x14ac:dyDescent="0.25">
      <c r="A319" s="206"/>
      <c r="H319" s="207"/>
      <c r="J319" s="3"/>
      <c r="AG319" s="208"/>
      <c r="AH319" s="208"/>
      <c r="AI319" s="208"/>
      <c r="AJ319" s="208"/>
      <c r="AK319" s="208"/>
      <c r="AL319" s="208"/>
      <c r="AM319" s="208"/>
    </row>
    <row r="320" spans="1:39" ht="13.8" x14ac:dyDescent="0.25">
      <c r="A320" s="206"/>
      <c r="H320" s="207"/>
      <c r="J320" s="3"/>
      <c r="AG320" s="208"/>
      <c r="AH320" s="208"/>
      <c r="AI320" s="208"/>
      <c r="AJ320" s="208"/>
      <c r="AK320" s="208"/>
      <c r="AL320" s="208"/>
      <c r="AM320" s="208"/>
    </row>
    <row r="321" spans="1:39" ht="13.8" x14ac:dyDescent="0.25">
      <c r="A321" s="206"/>
      <c r="H321" s="207"/>
      <c r="J321" s="3"/>
      <c r="AG321" s="208"/>
      <c r="AH321" s="208"/>
      <c r="AI321" s="208"/>
      <c r="AJ321" s="208"/>
      <c r="AK321" s="208"/>
      <c r="AL321" s="208"/>
      <c r="AM321" s="208"/>
    </row>
    <row r="322" spans="1:39" ht="13.8" x14ac:dyDescent="0.25">
      <c r="A322" s="206"/>
      <c r="H322" s="207"/>
      <c r="J322" s="3"/>
      <c r="AG322" s="208"/>
      <c r="AH322" s="208"/>
      <c r="AI322" s="208"/>
      <c r="AJ322" s="208"/>
      <c r="AK322" s="208"/>
      <c r="AL322" s="208"/>
      <c r="AM322" s="208"/>
    </row>
    <row r="323" spans="1:39" ht="13.8" x14ac:dyDescent="0.25">
      <c r="A323" s="206"/>
      <c r="H323" s="207"/>
      <c r="J323" s="3"/>
      <c r="AG323" s="208"/>
      <c r="AH323" s="208"/>
      <c r="AI323" s="208"/>
      <c r="AJ323" s="208"/>
      <c r="AK323" s="208"/>
      <c r="AL323" s="208"/>
      <c r="AM323" s="208"/>
    </row>
    <row r="324" spans="1:39" ht="13.8" x14ac:dyDescent="0.25">
      <c r="A324" s="206"/>
      <c r="H324" s="207"/>
      <c r="J324" s="3"/>
      <c r="AG324" s="208"/>
      <c r="AH324" s="208"/>
      <c r="AI324" s="208"/>
      <c r="AJ324" s="208"/>
      <c r="AK324" s="208"/>
      <c r="AL324" s="208"/>
      <c r="AM324" s="208"/>
    </row>
    <row r="325" spans="1:39" ht="13.8" x14ac:dyDescent="0.25">
      <c r="A325" s="206"/>
      <c r="H325" s="207"/>
      <c r="J325" s="3"/>
      <c r="AG325" s="208"/>
      <c r="AH325" s="208"/>
      <c r="AI325" s="208"/>
      <c r="AJ325" s="208"/>
      <c r="AK325" s="208"/>
      <c r="AL325" s="208"/>
      <c r="AM325" s="208"/>
    </row>
    <row r="326" spans="1:39" ht="13.8" x14ac:dyDescent="0.25">
      <c r="A326" s="206"/>
      <c r="H326" s="207"/>
      <c r="J326" s="3"/>
      <c r="AG326" s="208"/>
      <c r="AH326" s="208"/>
      <c r="AI326" s="208"/>
      <c r="AJ326" s="208"/>
      <c r="AK326" s="208"/>
      <c r="AL326" s="208"/>
      <c r="AM326" s="208"/>
    </row>
    <row r="327" spans="1:39" ht="13.8" x14ac:dyDescent="0.25">
      <c r="A327" s="206"/>
      <c r="H327" s="207"/>
      <c r="J327" s="3"/>
      <c r="AG327" s="208"/>
      <c r="AH327" s="208"/>
      <c r="AI327" s="208"/>
      <c r="AJ327" s="208"/>
      <c r="AK327" s="208"/>
      <c r="AL327" s="208"/>
      <c r="AM327" s="208"/>
    </row>
    <row r="328" spans="1:39" ht="13.8" x14ac:dyDescent="0.25">
      <c r="A328" s="206"/>
      <c r="H328" s="207"/>
      <c r="J328" s="3"/>
      <c r="AG328" s="208"/>
      <c r="AH328" s="208"/>
      <c r="AI328" s="208"/>
      <c r="AJ328" s="208"/>
      <c r="AK328" s="208"/>
      <c r="AL328" s="208"/>
      <c r="AM328" s="208"/>
    </row>
    <row r="329" spans="1:39" ht="13.8" x14ac:dyDescent="0.25">
      <c r="A329" s="206"/>
      <c r="H329" s="207"/>
      <c r="J329" s="3"/>
      <c r="AG329" s="208"/>
      <c r="AH329" s="208"/>
      <c r="AI329" s="208"/>
      <c r="AJ329" s="208"/>
      <c r="AK329" s="208"/>
      <c r="AL329" s="208"/>
      <c r="AM329" s="208"/>
    </row>
    <row r="330" spans="1:39" ht="13.8" x14ac:dyDescent="0.25">
      <c r="A330" s="206"/>
      <c r="H330" s="207"/>
      <c r="J330" s="3"/>
      <c r="AG330" s="208"/>
      <c r="AH330" s="208"/>
      <c r="AI330" s="208"/>
      <c r="AJ330" s="208"/>
      <c r="AK330" s="208"/>
      <c r="AL330" s="208"/>
      <c r="AM330" s="208"/>
    </row>
    <row r="331" spans="1:39" ht="13.8" x14ac:dyDescent="0.25">
      <c r="A331" s="206"/>
      <c r="H331" s="207"/>
      <c r="J331" s="3"/>
      <c r="AG331" s="208"/>
      <c r="AH331" s="208"/>
      <c r="AI331" s="208"/>
      <c r="AJ331" s="208"/>
      <c r="AK331" s="208"/>
      <c r="AL331" s="208"/>
      <c r="AM331" s="208"/>
    </row>
    <row r="332" spans="1:39" ht="13.8" x14ac:dyDescent="0.25">
      <c r="A332" s="206"/>
      <c r="H332" s="207"/>
      <c r="J332" s="3"/>
      <c r="AG332" s="208"/>
      <c r="AH332" s="208"/>
      <c r="AI332" s="208"/>
      <c r="AJ332" s="208"/>
      <c r="AK332" s="208"/>
      <c r="AL332" s="208"/>
      <c r="AM332" s="208"/>
    </row>
    <row r="333" spans="1:39" ht="13.8" x14ac:dyDescent="0.25">
      <c r="A333" s="206"/>
      <c r="H333" s="207"/>
      <c r="J333" s="3"/>
      <c r="AG333" s="208"/>
      <c r="AH333" s="208"/>
      <c r="AI333" s="208"/>
      <c r="AJ333" s="208"/>
      <c r="AK333" s="208"/>
      <c r="AL333" s="208"/>
      <c r="AM333" s="208"/>
    </row>
    <row r="334" spans="1:39" ht="13.8" x14ac:dyDescent="0.25">
      <c r="A334" s="206"/>
      <c r="H334" s="207"/>
      <c r="J334" s="3"/>
      <c r="AG334" s="208"/>
      <c r="AH334" s="208"/>
      <c r="AI334" s="208"/>
      <c r="AJ334" s="208"/>
      <c r="AK334" s="208"/>
      <c r="AL334" s="208"/>
      <c r="AM334" s="208"/>
    </row>
    <row r="335" spans="1:39" ht="13.8" x14ac:dyDescent="0.25">
      <c r="A335" s="206"/>
      <c r="H335" s="207"/>
      <c r="J335" s="3"/>
      <c r="AG335" s="208"/>
      <c r="AH335" s="208"/>
      <c r="AI335" s="208"/>
      <c r="AJ335" s="208"/>
      <c r="AK335" s="208"/>
      <c r="AL335" s="208"/>
      <c r="AM335" s="208"/>
    </row>
    <row r="336" spans="1:39" ht="13.8" x14ac:dyDescent="0.25">
      <c r="A336" s="206"/>
      <c r="H336" s="207"/>
      <c r="J336" s="3"/>
      <c r="AG336" s="208"/>
      <c r="AH336" s="208"/>
      <c r="AI336" s="208"/>
      <c r="AJ336" s="208"/>
      <c r="AK336" s="208"/>
      <c r="AL336" s="208"/>
      <c r="AM336" s="208"/>
    </row>
    <row r="337" spans="1:39" ht="13.8" x14ac:dyDescent="0.25">
      <c r="A337" s="206"/>
      <c r="H337" s="207"/>
      <c r="J337" s="3"/>
      <c r="AG337" s="208"/>
      <c r="AH337" s="208"/>
      <c r="AI337" s="208"/>
      <c r="AJ337" s="208"/>
      <c r="AK337" s="208"/>
      <c r="AL337" s="208"/>
      <c r="AM337" s="208"/>
    </row>
    <row r="338" spans="1:39" ht="13.8" x14ac:dyDescent="0.25">
      <c r="A338" s="206"/>
      <c r="H338" s="207"/>
      <c r="J338" s="3"/>
      <c r="AG338" s="208"/>
      <c r="AH338" s="208"/>
      <c r="AI338" s="208"/>
      <c r="AJ338" s="208"/>
      <c r="AK338" s="208"/>
      <c r="AL338" s="208"/>
      <c r="AM338" s="208"/>
    </row>
    <row r="339" spans="1:39" ht="13.8" x14ac:dyDescent="0.25">
      <c r="A339" s="206"/>
      <c r="H339" s="207"/>
      <c r="J339" s="3"/>
      <c r="AG339" s="208"/>
      <c r="AH339" s="208"/>
      <c r="AI339" s="208"/>
      <c r="AJ339" s="208"/>
      <c r="AK339" s="208"/>
      <c r="AL339" s="208"/>
      <c r="AM339" s="208"/>
    </row>
    <row r="340" spans="1:39" ht="13.8" x14ac:dyDescent="0.25">
      <c r="A340" s="206"/>
      <c r="H340" s="207"/>
      <c r="J340" s="3"/>
      <c r="AG340" s="208"/>
      <c r="AH340" s="208"/>
      <c r="AI340" s="208"/>
      <c r="AJ340" s="208"/>
      <c r="AK340" s="208"/>
      <c r="AL340" s="208"/>
      <c r="AM340" s="208"/>
    </row>
    <row r="341" spans="1:39" ht="13.8" x14ac:dyDescent="0.25">
      <c r="A341" s="206"/>
      <c r="H341" s="207"/>
      <c r="J341" s="3"/>
      <c r="AG341" s="208"/>
      <c r="AH341" s="208"/>
      <c r="AI341" s="208"/>
      <c r="AJ341" s="208"/>
      <c r="AK341" s="208"/>
      <c r="AL341" s="208"/>
      <c r="AM341" s="208"/>
    </row>
    <row r="342" spans="1:39" ht="13.8" x14ac:dyDescent="0.25">
      <c r="A342" s="206"/>
      <c r="H342" s="207"/>
      <c r="J342" s="3"/>
      <c r="AG342" s="208"/>
      <c r="AH342" s="208"/>
      <c r="AI342" s="208"/>
      <c r="AJ342" s="208"/>
      <c r="AK342" s="208"/>
      <c r="AL342" s="208"/>
      <c r="AM342" s="208"/>
    </row>
    <row r="343" spans="1:39" ht="13.8" x14ac:dyDescent="0.25">
      <c r="A343" s="206"/>
      <c r="H343" s="207"/>
      <c r="J343" s="3"/>
      <c r="AG343" s="208"/>
      <c r="AH343" s="208"/>
      <c r="AI343" s="208"/>
      <c r="AJ343" s="208"/>
      <c r="AK343" s="208"/>
      <c r="AL343" s="208"/>
      <c r="AM343" s="208"/>
    </row>
    <row r="344" spans="1:39" ht="13.8" x14ac:dyDescent="0.25">
      <c r="A344" s="206"/>
      <c r="H344" s="207"/>
      <c r="J344" s="3"/>
      <c r="AG344" s="208"/>
      <c r="AH344" s="208"/>
      <c r="AI344" s="208"/>
      <c r="AJ344" s="208"/>
      <c r="AK344" s="208"/>
      <c r="AL344" s="208"/>
      <c r="AM344" s="208"/>
    </row>
    <row r="345" spans="1:39" ht="13.8" x14ac:dyDescent="0.25">
      <c r="A345" s="206"/>
      <c r="H345" s="207"/>
      <c r="J345" s="3"/>
      <c r="AG345" s="208"/>
      <c r="AH345" s="208"/>
      <c r="AI345" s="208"/>
      <c r="AJ345" s="208"/>
      <c r="AK345" s="208"/>
      <c r="AL345" s="208"/>
      <c r="AM345" s="208"/>
    </row>
    <row r="346" spans="1:39" ht="13.8" x14ac:dyDescent="0.25">
      <c r="A346" s="206"/>
      <c r="H346" s="207"/>
      <c r="J346" s="3"/>
      <c r="AG346" s="208"/>
      <c r="AH346" s="208"/>
      <c r="AI346" s="208"/>
      <c r="AJ346" s="208"/>
      <c r="AK346" s="208"/>
      <c r="AL346" s="208"/>
      <c r="AM346" s="208"/>
    </row>
    <row r="347" spans="1:39" ht="13.8" x14ac:dyDescent="0.25">
      <c r="A347" s="206"/>
      <c r="H347" s="207"/>
      <c r="J347" s="3"/>
      <c r="AG347" s="208"/>
      <c r="AH347" s="208"/>
      <c r="AI347" s="208"/>
      <c r="AJ347" s="208"/>
      <c r="AK347" s="208"/>
      <c r="AL347" s="208"/>
      <c r="AM347" s="208"/>
    </row>
    <row r="348" spans="1:39" ht="13.8" x14ac:dyDescent="0.25">
      <c r="A348" s="206"/>
      <c r="H348" s="207"/>
      <c r="J348" s="3"/>
      <c r="AG348" s="208"/>
      <c r="AH348" s="208"/>
      <c r="AI348" s="208"/>
      <c r="AJ348" s="208"/>
      <c r="AK348" s="208"/>
      <c r="AL348" s="208"/>
      <c r="AM348" s="208"/>
    </row>
    <row r="349" spans="1:39" ht="13.8" x14ac:dyDescent="0.25">
      <c r="A349" s="206"/>
      <c r="H349" s="207"/>
      <c r="J349" s="3"/>
      <c r="AG349" s="208"/>
      <c r="AH349" s="208"/>
      <c r="AI349" s="208"/>
      <c r="AJ349" s="208"/>
      <c r="AK349" s="208"/>
      <c r="AL349" s="208"/>
      <c r="AM349" s="208"/>
    </row>
    <row r="350" spans="1:39" ht="13.8" x14ac:dyDescent="0.25">
      <c r="A350" s="206"/>
      <c r="H350" s="207"/>
      <c r="J350" s="3"/>
      <c r="AG350" s="208"/>
      <c r="AH350" s="208"/>
      <c r="AI350" s="208"/>
      <c r="AJ350" s="208"/>
      <c r="AK350" s="208"/>
      <c r="AL350" s="208"/>
      <c r="AM350" s="208"/>
    </row>
    <row r="351" spans="1:39" ht="13.8" x14ac:dyDescent="0.25">
      <c r="A351" s="206"/>
      <c r="H351" s="207"/>
      <c r="J351" s="3"/>
      <c r="AG351" s="208"/>
      <c r="AH351" s="208"/>
      <c r="AI351" s="208"/>
      <c r="AJ351" s="208"/>
      <c r="AK351" s="208"/>
      <c r="AL351" s="208"/>
      <c r="AM351" s="208"/>
    </row>
    <row r="352" spans="1:39" ht="13.8" x14ac:dyDescent="0.25">
      <c r="A352" s="206"/>
      <c r="H352" s="207"/>
      <c r="J352" s="3"/>
      <c r="AG352" s="208"/>
      <c r="AH352" s="208"/>
      <c r="AI352" s="208"/>
      <c r="AJ352" s="208"/>
      <c r="AK352" s="208"/>
      <c r="AL352" s="208"/>
      <c r="AM352" s="208"/>
    </row>
    <row r="353" spans="1:39" ht="13.8" x14ac:dyDescent="0.25">
      <c r="A353" s="206"/>
      <c r="H353" s="207"/>
      <c r="J353" s="3"/>
      <c r="AG353" s="208"/>
      <c r="AH353" s="208"/>
      <c r="AI353" s="208"/>
      <c r="AJ353" s="208"/>
      <c r="AK353" s="208"/>
      <c r="AL353" s="208"/>
      <c r="AM353" s="208"/>
    </row>
    <row r="354" spans="1:39" ht="13.8" x14ac:dyDescent="0.25">
      <c r="A354" s="206"/>
      <c r="H354" s="207"/>
      <c r="J354" s="3"/>
      <c r="AG354" s="208"/>
      <c r="AH354" s="208"/>
      <c r="AI354" s="208"/>
      <c r="AJ354" s="208"/>
      <c r="AK354" s="208"/>
      <c r="AL354" s="208"/>
      <c r="AM354" s="208"/>
    </row>
    <row r="355" spans="1:39" ht="13.8" x14ac:dyDescent="0.25">
      <c r="A355" s="206"/>
      <c r="H355" s="207"/>
      <c r="J355" s="3"/>
      <c r="AG355" s="208"/>
      <c r="AH355" s="208"/>
      <c r="AI355" s="208"/>
      <c r="AJ355" s="208"/>
      <c r="AK355" s="208"/>
      <c r="AL355" s="208"/>
      <c r="AM355" s="208"/>
    </row>
    <row r="356" spans="1:39" ht="13.8" x14ac:dyDescent="0.25">
      <c r="A356" s="206"/>
      <c r="H356" s="207"/>
      <c r="J356" s="3"/>
      <c r="AG356" s="208"/>
      <c r="AH356" s="208"/>
      <c r="AI356" s="208"/>
      <c r="AJ356" s="208"/>
      <c r="AK356" s="208"/>
      <c r="AL356" s="208"/>
      <c r="AM356" s="208"/>
    </row>
    <row r="357" spans="1:39" ht="13.8" x14ac:dyDescent="0.25">
      <c r="A357" s="206"/>
      <c r="H357" s="207"/>
      <c r="J357" s="3"/>
      <c r="AG357" s="208"/>
      <c r="AH357" s="208"/>
      <c r="AI357" s="208"/>
      <c r="AJ357" s="208"/>
      <c r="AK357" s="208"/>
      <c r="AL357" s="208"/>
      <c r="AM357" s="208"/>
    </row>
    <row r="358" spans="1:39" ht="13.8" x14ac:dyDescent="0.25">
      <c r="A358" s="206"/>
      <c r="H358" s="207"/>
      <c r="J358" s="3"/>
      <c r="AG358" s="208"/>
      <c r="AH358" s="208"/>
      <c r="AI358" s="208"/>
      <c r="AJ358" s="208"/>
      <c r="AK358" s="208"/>
      <c r="AL358" s="208"/>
      <c r="AM358" s="208"/>
    </row>
    <row r="359" spans="1:39" ht="13.8" x14ac:dyDescent="0.25">
      <c r="A359" s="206"/>
      <c r="H359" s="207"/>
      <c r="J359" s="3"/>
      <c r="AG359" s="208"/>
      <c r="AH359" s="208"/>
      <c r="AI359" s="208"/>
      <c r="AJ359" s="208"/>
      <c r="AK359" s="208"/>
      <c r="AL359" s="208"/>
      <c r="AM359" s="208"/>
    </row>
    <row r="360" spans="1:39" ht="13.8" x14ac:dyDescent="0.25">
      <c r="A360" s="206"/>
      <c r="H360" s="207"/>
      <c r="J360" s="3"/>
      <c r="AG360" s="208"/>
      <c r="AH360" s="208"/>
      <c r="AI360" s="208"/>
      <c r="AJ360" s="208"/>
      <c r="AK360" s="208"/>
      <c r="AL360" s="208"/>
      <c r="AM360" s="208"/>
    </row>
    <row r="361" spans="1:39" ht="13.8" x14ac:dyDescent="0.25">
      <c r="A361" s="206"/>
      <c r="H361" s="207"/>
      <c r="J361" s="3"/>
      <c r="AG361" s="208"/>
      <c r="AH361" s="208"/>
      <c r="AI361" s="208"/>
      <c r="AJ361" s="208"/>
      <c r="AK361" s="208"/>
      <c r="AL361" s="208"/>
      <c r="AM361" s="208"/>
    </row>
    <row r="362" spans="1:39" ht="13.8" x14ac:dyDescent="0.25">
      <c r="A362" s="206"/>
      <c r="H362" s="207"/>
      <c r="J362" s="3"/>
      <c r="AG362" s="208"/>
      <c r="AH362" s="208"/>
      <c r="AI362" s="208"/>
      <c r="AJ362" s="208"/>
      <c r="AK362" s="208"/>
      <c r="AL362" s="208"/>
      <c r="AM362" s="208"/>
    </row>
    <row r="363" spans="1:39" ht="13.8" x14ac:dyDescent="0.25">
      <c r="A363" s="206"/>
      <c r="H363" s="207"/>
      <c r="J363" s="3"/>
      <c r="AG363" s="208"/>
      <c r="AH363" s="208"/>
      <c r="AI363" s="208"/>
      <c r="AJ363" s="208"/>
      <c r="AK363" s="208"/>
      <c r="AL363" s="208"/>
      <c r="AM363" s="208"/>
    </row>
    <row r="364" spans="1:39" ht="13.8" x14ac:dyDescent="0.25">
      <c r="A364" s="206"/>
      <c r="H364" s="207"/>
      <c r="J364" s="3"/>
      <c r="AG364" s="208"/>
      <c r="AH364" s="208"/>
      <c r="AI364" s="208"/>
      <c r="AJ364" s="208"/>
      <c r="AK364" s="208"/>
      <c r="AL364" s="208"/>
      <c r="AM364" s="208"/>
    </row>
    <row r="365" spans="1:39" ht="13.8" x14ac:dyDescent="0.25">
      <c r="A365" s="206"/>
      <c r="H365" s="207"/>
      <c r="J365" s="3"/>
      <c r="AG365" s="208"/>
      <c r="AH365" s="208"/>
      <c r="AI365" s="208"/>
      <c r="AJ365" s="208"/>
      <c r="AK365" s="208"/>
      <c r="AL365" s="208"/>
      <c r="AM365" s="208"/>
    </row>
    <row r="366" spans="1:39" ht="13.8" x14ac:dyDescent="0.25">
      <c r="A366" s="206"/>
      <c r="H366" s="207"/>
      <c r="J366" s="3"/>
      <c r="AG366" s="208"/>
      <c r="AH366" s="208"/>
      <c r="AI366" s="208"/>
      <c r="AJ366" s="208"/>
      <c r="AK366" s="208"/>
      <c r="AL366" s="208"/>
      <c r="AM366" s="208"/>
    </row>
    <row r="367" spans="1:39" ht="13.8" x14ac:dyDescent="0.25">
      <c r="A367" s="206"/>
      <c r="H367" s="207"/>
      <c r="J367" s="3"/>
      <c r="AG367" s="208"/>
      <c r="AH367" s="208"/>
      <c r="AI367" s="208"/>
      <c r="AJ367" s="208"/>
      <c r="AK367" s="208"/>
      <c r="AL367" s="208"/>
      <c r="AM367" s="208"/>
    </row>
    <row r="368" spans="1:39" ht="13.8" x14ac:dyDescent="0.25">
      <c r="A368" s="206"/>
      <c r="H368" s="207"/>
      <c r="J368" s="3"/>
      <c r="AG368" s="208"/>
      <c r="AH368" s="208"/>
      <c r="AI368" s="208"/>
      <c r="AJ368" s="208"/>
      <c r="AK368" s="208"/>
      <c r="AL368" s="208"/>
      <c r="AM368" s="208"/>
    </row>
    <row r="369" spans="1:39" ht="13.8" x14ac:dyDescent="0.25">
      <c r="A369" s="206"/>
      <c r="H369" s="207"/>
      <c r="J369" s="3"/>
      <c r="AG369" s="208"/>
      <c r="AH369" s="208"/>
      <c r="AI369" s="208"/>
      <c r="AJ369" s="208"/>
      <c r="AK369" s="208"/>
      <c r="AL369" s="208"/>
      <c r="AM369" s="208"/>
    </row>
    <row r="370" spans="1:39" ht="13.8" x14ac:dyDescent="0.25">
      <c r="A370" s="206"/>
      <c r="H370" s="207"/>
      <c r="J370" s="3"/>
      <c r="AG370" s="208"/>
      <c r="AH370" s="208"/>
      <c r="AI370" s="208"/>
      <c r="AJ370" s="208"/>
      <c r="AK370" s="208"/>
      <c r="AL370" s="208"/>
      <c r="AM370" s="208"/>
    </row>
    <row r="371" spans="1:39" ht="13.8" x14ac:dyDescent="0.25">
      <c r="A371" s="206"/>
      <c r="H371" s="207"/>
      <c r="J371" s="3"/>
      <c r="AG371" s="208"/>
      <c r="AH371" s="208"/>
      <c r="AI371" s="208"/>
      <c r="AJ371" s="208"/>
      <c r="AK371" s="208"/>
      <c r="AL371" s="208"/>
      <c r="AM371" s="208"/>
    </row>
    <row r="372" spans="1:39" ht="13.8" x14ac:dyDescent="0.25">
      <c r="A372" s="206"/>
      <c r="H372" s="207"/>
      <c r="J372" s="3"/>
      <c r="AG372" s="208"/>
      <c r="AH372" s="208"/>
      <c r="AI372" s="208"/>
      <c r="AJ372" s="208"/>
      <c r="AK372" s="208"/>
      <c r="AL372" s="208"/>
      <c r="AM372" s="208"/>
    </row>
    <row r="373" spans="1:39" ht="13.8" x14ac:dyDescent="0.25">
      <c r="A373" s="206"/>
      <c r="H373" s="207"/>
      <c r="J373" s="3"/>
      <c r="AG373" s="208"/>
      <c r="AH373" s="208"/>
      <c r="AI373" s="208"/>
      <c r="AJ373" s="208"/>
      <c r="AK373" s="208"/>
      <c r="AL373" s="208"/>
      <c r="AM373" s="208"/>
    </row>
    <row r="374" spans="1:39" ht="13.8" x14ac:dyDescent="0.25">
      <c r="A374" s="206"/>
      <c r="H374" s="207"/>
      <c r="J374" s="3"/>
      <c r="AG374" s="208"/>
      <c r="AH374" s="208"/>
      <c r="AI374" s="208"/>
      <c r="AJ374" s="208"/>
      <c r="AK374" s="208"/>
      <c r="AL374" s="208"/>
      <c r="AM374" s="208"/>
    </row>
    <row r="375" spans="1:39" ht="13.8" x14ac:dyDescent="0.25">
      <c r="A375" s="206"/>
      <c r="H375" s="207"/>
      <c r="J375" s="3"/>
      <c r="AG375" s="208"/>
      <c r="AH375" s="208"/>
      <c r="AI375" s="208"/>
      <c r="AJ375" s="208"/>
      <c r="AK375" s="208"/>
      <c r="AL375" s="208"/>
      <c r="AM375" s="208"/>
    </row>
    <row r="376" spans="1:39" ht="13.8" x14ac:dyDescent="0.25">
      <c r="A376" s="206"/>
      <c r="H376" s="207"/>
      <c r="J376" s="3"/>
      <c r="AG376" s="208"/>
      <c r="AH376" s="208"/>
      <c r="AI376" s="208"/>
      <c r="AJ376" s="208"/>
      <c r="AK376" s="208"/>
      <c r="AL376" s="208"/>
      <c r="AM376" s="208"/>
    </row>
    <row r="377" spans="1:39" ht="13.8" x14ac:dyDescent="0.25">
      <c r="A377" s="206"/>
      <c r="H377" s="207"/>
      <c r="J377" s="3"/>
      <c r="AG377" s="208"/>
      <c r="AH377" s="208"/>
      <c r="AI377" s="208"/>
      <c r="AJ377" s="208"/>
      <c r="AK377" s="208"/>
      <c r="AL377" s="208"/>
      <c r="AM377" s="208"/>
    </row>
    <row r="378" spans="1:39" ht="13.8" x14ac:dyDescent="0.25">
      <c r="A378" s="206"/>
      <c r="H378" s="207"/>
      <c r="J378" s="3"/>
      <c r="AG378" s="208"/>
      <c r="AH378" s="208"/>
      <c r="AI378" s="208"/>
      <c r="AJ378" s="208"/>
      <c r="AK378" s="208"/>
      <c r="AL378" s="208"/>
      <c r="AM378" s="208"/>
    </row>
    <row r="379" spans="1:39" ht="13.8" x14ac:dyDescent="0.25">
      <c r="A379" s="206"/>
      <c r="H379" s="207"/>
      <c r="J379" s="3"/>
      <c r="AG379" s="208"/>
      <c r="AH379" s="208"/>
      <c r="AI379" s="208"/>
      <c r="AJ379" s="208"/>
      <c r="AK379" s="208"/>
      <c r="AL379" s="208"/>
      <c r="AM379" s="208"/>
    </row>
    <row r="380" spans="1:39" ht="13.8" x14ac:dyDescent="0.25">
      <c r="A380" s="206"/>
      <c r="H380" s="207"/>
      <c r="J380" s="3"/>
      <c r="AG380" s="208"/>
      <c r="AH380" s="208"/>
      <c r="AI380" s="208"/>
      <c r="AJ380" s="208"/>
      <c r="AK380" s="208"/>
      <c r="AL380" s="208"/>
      <c r="AM380" s="208"/>
    </row>
    <row r="381" spans="1:39" ht="13.8" x14ac:dyDescent="0.25">
      <c r="A381" s="206"/>
      <c r="H381" s="207"/>
      <c r="J381" s="3"/>
      <c r="AG381" s="208"/>
      <c r="AH381" s="208"/>
      <c r="AI381" s="208"/>
      <c r="AJ381" s="208"/>
      <c r="AK381" s="208"/>
      <c r="AL381" s="208"/>
      <c r="AM381" s="208"/>
    </row>
    <row r="382" spans="1:39" ht="13.8" x14ac:dyDescent="0.25">
      <c r="A382" s="206"/>
      <c r="H382" s="207"/>
      <c r="J382" s="3"/>
      <c r="AG382" s="208"/>
      <c r="AH382" s="208"/>
      <c r="AI382" s="208"/>
      <c r="AJ382" s="208"/>
      <c r="AK382" s="208"/>
      <c r="AL382" s="208"/>
      <c r="AM382" s="208"/>
    </row>
    <row r="383" spans="1:39" ht="13.8" x14ac:dyDescent="0.25">
      <c r="A383" s="206"/>
      <c r="H383" s="207"/>
      <c r="J383" s="3"/>
      <c r="AG383" s="208"/>
      <c r="AH383" s="208"/>
      <c r="AI383" s="208"/>
      <c r="AJ383" s="208"/>
      <c r="AK383" s="208"/>
      <c r="AL383" s="208"/>
      <c r="AM383" s="208"/>
    </row>
    <row r="384" spans="1:39" ht="13.8" x14ac:dyDescent="0.25">
      <c r="A384" s="206"/>
      <c r="H384" s="207"/>
      <c r="J384" s="3"/>
      <c r="AG384" s="208"/>
      <c r="AH384" s="208"/>
      <c r="AI384" s="208"/>
      <c r="AJ384" s="208"/>
      <c r="AK384" s="208"/>
      <c r="AL384" s="208"/>
      <c r="AM384" s="208"/>
    </row>
    <row r="385" spans="1:39" ht="13.8" x14ac:dyDescent="0.25">
      <c r="A385" s="206"/>
      <c r="H385" s="207"/>
      <c r="J385" s="3"/>
      <c r="AG385" s="208"/>
      <c r="AH385" s="208"/>
      <c r="AI385" s="208"/>
      <c r="AJ385" s="208"/>
      <c r="AK385" s="208"/>
      <c r="AL385" s="208"/>
      <c r="AM385" s="208"/>
    </row>
    <row r="386" spans="1:39" ht="13.8" x14ac:dyDescent="0.25">
      <c r="A386" s="206"/>
      <c r="H386" s="207"/>
      <c r="J386" s="3"/>
      <c r="AG386" s="208"/>
      <c r="AH386" s="208"/>
      <c r="AI386" s="208"/>
      <c r="AJ386" s="208"/>
      <c r="AK386" s="208"/>
      <c r="AL386" s="208"/>
      <c r="AM386" s="208"/>
    </row>
    <row r="387" spans="1:39" ht="13.8" x14ac:dyDescent="0.25">
      <c r="A387" s="206"/>
      <c r="H387" s="207"/>
      <c r="J387" s="3"/>
      <c r="AG387" s="208"/>
      <c r="AH387" s="208"/>
      <c r="AI387" s="208"/>
      <c r="AJ387" s="208"/>
      <c r="AK387" s="208"/>
      <c r="AL387" s="208"/>
      <c r="AM387" s="208"/>
    </row>
    <row r="388" spans="1:39" ht="13.8" x14ac:dyDescent="0.25">
      <c r="A388" s="206"/>
      <c r="H388" s="207"/>
      <c r="J388" s="3"/>
      <c r="AG388" s="208"/>
      <c r="AH388" s="208"/>
      <c r="AI388" s="208"/>
      <c r="AJ388" s="208"/>
      <c r="AK388" s="208"/>
      <c r="AL388" s="208"/>
      <c r="AM388" s="208"/>
    </row>
    <row r="389" spans="1:39" ht="13.8" x14ac:dyDescent="0.25">
      <c r="A389" s="206"/>
      <c r="H389" s="207"/>
      <c r="J389" s="3"/>
      <c r="AG389" s="208"/>
      <c r="AH389" s="208"/>
      <c r="AI389" s="208"/>
      <c r="AJ389" s="208"/>
      <c r="AK389" s="208"/>
      <c r="AL389" s="208"/>
      <c r="AM389" s="208"/>
    </row>
    <row r="390" spans="1:39" ht="13.8" x14ac:dyDescent="0.25">
      <c r="A390" s="206"/>
      <c r="H390" s="207"/>
      <c r="J390" s="3"/>
      <c r="AG390" s="208"/>
      <c r="AH390" s="208"/>
      <c r="AI390" s="208"/>
      <c r="AJ390" s="208"/>
      <c r="AK390" s="208"/>
      <c r="AL390" s="208"/>
      <c r="AM390" s="208"/>
    </row>
    <row r="391" spans="1:39" ht="13.8" x14ac:dyDescent="0.25">
      <c r="A391" s="206"/>
      <c r="H391" s="207"/>
      <c r="J391" s="3"/>
      <c r="AG391" s="208"/>
      <c r="AH391" s="208"/>
      <c r="AI391" s="208"/>
      <c r="AJ391" s="208"/>
      <c r="AK391" s="208"/>
      <c r="AL391" s="208"/>
      <c r="AM391" s="208"/>
    </row>
    <row r="392" spans="1:39" ht="13.8" x14ac:dyDescent="0.25">
      <c r="A392" s="206"/>
      <c r="H392" s="207"/>
      <c r="J392" s="3"/>
      <c r="AG392" s="208"/>
      <c r="AH392" s="208"/>
      <c r="AI392" s="208"/>
      <c r="AJ392" s="208"/>
      <c r="AK392" s="208"/>
      <c r="AL392" s="208"/>
      <c r="AM392" s="208"/>
    </row>
    <row r="393" spans="1:39" ht="13.8" x14ac:dyDescent="0.25">
      <c r="A393" s="206"/>
      <c r="H393" s="207"/>
      <c r="J393" s="3"/>
      <c r="AG393" s="208"/>
      <c r="AH393" s="208"/>
      <c r="AI393" s="208"/>
      <c r="AJ393" s="208"/>
      <c r="AK393" s="208"/>
      <c r="AL393" s="208"/>
      <c r="AM393" s="208"/>
    </row>
    <row r="394" spans="1:39" ht="13.8" x14ac:dyDescent="0.25">
      <c r="A394" s="206"/>
      <c r="H394" s="207"/>
      <c r="J394" s="3"/>
      <c r="AG394" s="208"/>
      <c r="AH394" s="208"/>
      <c r="AI394" s="208"/>
      <c r="AJ394" s="208"/>
      <c r="AK394" s="208"/>
      <c r="AL394" s="208"/>
      <c r="AM394" s="208"/>
    </row>
    <row r="395" spans="1:39" ht="13.8" x14ac:dyDescent="0.25">
      <c r="A395" s="206"/>
      <c r="H395" s="207"/>
      <c r="J395" s="3"/>
      <c r="AG395" s="208"/>
      <c r="AH395" s="208"/>
      <c r="AI395" s="208"/>
      <c r="AJ395" s="208"/>
      <c r="AK395" s="208"/>
      <c r="AL395" s="208"/>
      <c r="AM395" s="208"/>
    </row>
    <row r="396" spans="1:39" ht="13.8" x14ac:dyDescent="0.25">
      <c r="A396" s="206"/>
      <c r="H396" s="207"/>
      <c r="J396" s="3"/>
      <c r="AG396" s="208"/>
      <c r="AH396" s="208"/>
      <c r="AI396" s="208"/>
      <c r="AJ396" s="208"/>
      <c r="AK396" s="208"/>
      <c r="AL396" s="208"/>
      <c r="AM396" s="208"/>
    </row>
    <row r="397" spans="1:39" ht="13.8" x14ac:dyDescent="0.25">
      <c r="A397" s="206"/>
      <c r="H397" s="207"/>
      <c r="J397" s="3"/>
      <c r="AG397" s="208"/>
      <c r="AH397" s="208"/>
      <c r="AI397" s="208"/>
      <c r="AJ397" s="208"/>
      <c r="AK397" s="208"/>
      <c r="AL397" s="208"/>
      <c r="AM397" s="208"/>
    </row>
    <row r="398" spans="1:39" ht="13.8" x14ac:dyDescent="0.25">
      <c r="A398" s="206"/>
      <c r="H398" s="207"/>
      <c r="J398" s="3"/>
      <c r="AG398" s="208"/>
      <c r="AH398" s="208"/>
      <c r="AI398" s="208"/>
      <c r="AJ398" s="208"/>
      <c r="AK398" s="208"/>
      <c r="AL398" s="208"/>
      <c r="AM398" s="208"/>
    </row>
    <row r="399" spans="1:39" ht="13.8" x14ac:dyDescent="0.25">
      <c r="A399" s="206"/>
      <c r="H399" s="207"/>
      <c r="J399" s="3"/>
      <c r="AG399" s="208"/>
      <c r="AH399" s="208"/>
      <c r="AI399" s="208"/>
      <c r="AJ399" s="208"/>
      <c r="AK399" s="208"/>
      <c r="AL399" s="208"/>
      <c r="AM399" s="208"/>
    </row>
    <row r="400" spans="1:39" ht="13.8" x14ac:dyDescent="0.25">
      <c r="A400" s="206"/>
      <c r="H400" s="207"/>
      <c r="J400" s="3"/>
      <c r="AG400" s="208"/>
      <c r="AH400" s="208"/>
      <c r="AI400" s="208"/>
      <c r="AJ400" s="208"/>
      <c r="AK400" s="208"/>
      <c r="AL400" s="208"/>
      <c r="AM400" s="208"/>
    </row>
    <row r="401" spans="1:39" ht="13.8" x14ac:dyDescent="0.25">
      <c r="A401" s="206"/>
      <c r="H401" s="207"/>
      <c r="J401" s="3"/>
      <c r="AG401" s="208"/>
      <c r="AH401" s="208"/>
      <c r="AI401" s="208"/>
      <c r="AJ401" s="208"/>
      <c r="AK401" s="208"/>
      <c r="AL401" s="208"/>
      <c r="AM401" s="208"/>
    </row>
    <row r="402" spans="1:39" ht="13.8" x14ac:dyDescent="0.25">
      <c r="A402" s="206"/>
      <c r="H402" s="207"/>
      <c r="J402" s="3"/>
      <c r="AG402" s="208"/>
      <c r="AH402" s="208"/>
      <c r="AI402" s="208"/>
      <c r="AJ402" s="208"/>
      <c r="AK402" s="208"/>
      <c r="AL402" s="208"/>
      <c r="AM402" s="208"/>
    </row>
    <row r="403" spans="1:39" ht="13.8" x14ac:dyDescent="0.25">
      <c r="A403" s="206"/>
      <c r="H403" s="207"/>
      <c r="J403" s="3"/>
      <c r="AG403" s="208"/>
      <c r="AH403" s="208"/>
      <c r="AI403" s="208"/>
      <c r="AJ403" s="208"/>
      <c r="AK403" s="208"/>
      <c r="AL403" s="208"/>
      <c r="AM403" s="208"/>
    </row>
    <row r="404" spans="1:39" ht="13.8" x14ac:dyDescent="0.25">
      <c r="A404" s="206"/>
      <c r="H404" s="207"/>
      <c r="J404" s="3"/>
      <c r="AG404" s="208"/>
      <c r="AH404" s="208"/>
      <c r="AI404" s="208"/>
      <c r="AJ404" s="208"/>
      <c r="AK404" s="208"/>
      <c r="AL404" s="208"/>
      <c r="AM404" s="208"/>
    </row>
    <row r="405" spans="1:39" ht="13.8" x14ac:dyDescent="0.25">
      <c r="A405" s="206"/>
      <c r="H405" s="207"/>
      <c r="J405" s="3"/>
      <c r="AG405" s="208"/>
      <c r="AH405" s="208"/>
      <c r="AI405" s="208"/>
      <c r="AJ405" s="208"/>
      <c r="AK405" s="208"/>
      <c r="AL405" s="208"/>
      <c r="AM405" s="208"/>
    </row>
    <row r="406" spans="1:39" ht="13.8" x14ac:dyDescent="0.25">
      <c r="A406" s="206"/>
      <c r="H406" s="207"/>
      <c r="J406" s="3"/>
      <c r="AG406" s="208"/>
      <c r="AH406" s="208"/>
      <c r="AI406" s="208"/>
      <c r="AJ406" s="208"/>
      <c r="AK406" s="208"/>
      <c r="AL406" s="208"/>
      <c r="AM406" s="208"/>
    </row>
    <row r="407" spans="1:39" ht="13.8" x14ac:dyDescent="0.25">
      <c r="A407" s="206"/>
      <c r="H407" s="207"/>
      <c r="J407" s="3"/>
      <c r="AG407" s="208"/>
      <c r="AH407" s="208"/>
      <c r="AI407" s="208"/>
      <c r="AJ407" s="208"/>
      <c r="AK407" s="208"/>
      <c r="AL407" s="208"/>
      <c r="AM407" s="208"/>
    </row>
    <row r="408" spans="1:39" ht="13.8" x14ac:dyDescent="0.25">
      <c r="A408" s="206"/>
      <c r="H408" s="207"/>
      <c r="J408" s="3"/>
      <c r="AG408" s="208"/>
      <c r="AH408" s="208"/>
      <c r="AI408" s="208"/>
      <c r="AJ408" s="208"/>
      <c r="AK408" s="208"/>
      <c r="AL408" s="208"/>
      <c r="AM408" s="208"/>
    </row>
    <row r="409" spans="1:39" ht="13.8" x14ac:dyDescent="0.25">
      <c r="A409" s="206"/>
      <c r="H409" s="207"/>
      <c r="J409" s="3"/>
      <c r="AG409" s="208"/>
      <c r="AH409" s="208"/>
      <c r="AI409" s="208"/>
      <c r="AJ409" s="208"/>
      <c r="AK409" s="208"/>
      <c r="AL409" s="208"/>
      <c r="AM409" s="208"/>
    </row>
    <row r="410" spans="1:39" ht="13.8" x14ac:dyDescent="0.25">
      <c r="A410" s="206"/>
      <c r="H410" s="207"/>
      <c r="J410" s="3"/>
      <c r="AG410" s="208"/>
      <c r="AH410" s="208"/>
      <c r="AI410" s="208"/>
      <c r="AJ410" s="208"/>
      <c r="AK410" s="208"/>
      <c r="AL410" s="208"/>
      <c r="AM410" s="208"/>
    </row>
    <row r="411" spans="1:39" ht="13.8" x14ac:dyDescent="0.25">
      <c r="A411" s="206"/>
      <c r="H411" s="207"/>
      <c r="J411" s="3"/>
      <c r="AG411" s="208"/>
      <c r="AH411" s="208"/>
      <c r="AI411" s="208"/>
      <c r="AJ411" s="208"/>
      <c r="AK411" s="208"/>
      <c r="AL411" s="208"/>
      <c r="AM411" s="208"/>
    </row>
    <row r="412" spans="1:39" ht="13.8" x14ac:dyDescent="0.25">
      <c r="A412" s="206"/>
      <c r="H412" s="207"/>
      <c r="J412" s="3"/>
      <c r="AG412" s="208"/>
      <c r="AH412" s="208"/>
      <c r="AI412" s="208"/>
      <c r="AJ412" s="208"/>
      <c r="AK412" s="208"/>
      <c r="AL412" s="208"/>
      <c r="AM412" s="208"/>
    </row>
    <row r="413" spans="1:39" ht="13.8" x14ac:dyDescent="0.25">
      <c r="A413" s="206"/>
      <c r="H413" s="207"/>
      <c r="J413" s="3"/>
      <c r="AG413" s="208"/>
      <c r="AH413" s="208"/>
      <c r="AI413" s="208"/>
      <c r="AJ413" s="208"/>
      <c r="AK413" s="208"/>
      <c r="AL413" s="208"/>
      <c r="AM413" s="208"/>
    </row>
    <row r="414" spans="1:39" ht="13.8" x14ac:dyDescent="0.25">
      <c r="A414" s="206"/>
      <c r="H414" s="207"/>
      <c r="J414" s="3"/>
      <c r="AG414" s="208"/>
      <c r="AH414" s="208"/>
      <c r="AI414" s="208"/>
      <c r="AJ414" s="208"/>
      <c r="AK414" s="208"/>
      <c r="AL414" s="208"/>
      <c r="AM414" s="208"/>
    </row>
    <row r="415" spans="1:39" ht="13.8" x14ac:dyDescent="0.25">
      <c r="A415" s="206"/>
      <c r="H415" s="207"/>
      <c r="J415" s="3"/>
      <c r="AG415" s="208"/>
      <c r="AH415" s="208"/>
      <c r="AI415" s="208"/>
      <c r="AJ415" s="208"/>
      <c r="AK415" s="208"/>
      <c r="AL415" s="208"/>
      <c r="AM415" s="208"/>
    </row>
    <row r="416" spans="1:39" ht="13.8" x14ac:dyDescent="0.25">
      <c r="A416" s="206"/>
      <c r="H416" s="207"/>
      <c r="J416" s="3"/>
      <c r="AG416" s="208"/>
      <c r="AH416" s="208"/>
      <c r="AI416" s="208"/>
      <c r="AJ416" s="208"/>
      <c r="AK416" s="208"/>
      <c r="AL416" s="208"/>
      <c r="AM416" s="208"/>
    </row>
    <row r="417" spans="1:39" ht="13.8" x14ac:dyDescent="0.25">
      <c r="A417" s="206"/>
      <c r="H417" s="207"/>
      <c r="J417" s="3"/>
      <c r="AG417" s="208"/>
      <c r="AH417" s="208"/>
      <c r="AI417" s="208"/>
      <c r="AJ417" s="208"/>
      <c r="AK417" s="208"/>
      <c r="AL417" s="208"/>
      <c r="AM417" s="208"/>
    </row>
    <row r="418" spans="1:39" ht="13.8" x14ac:dyDescent="0.25">
      <c r="A418" s="206"/>
      <c r="H418" s="207"/>
      <c r="J418" s="3"/>
      <c r="AG418" s="208"/>
      <c r="AH418" s="208"/>
      <c r="AI418" s="208"/>
      <c r="AJ418" s="208"/>
      <c r="AK418" s="208"/>
      <c r="AL418" s="208"/>
      <c r="AM418" s="208"/>
    </row>
    <row r="419" spans="1:39" ht="13.8" x14ac:dyDescent="0.25">
      <c r="A419" s="206"/>
      <c r="H419" s="207"/>
      <c r="J419" s="3"/>
      <c r="AG419" s="208"/>
      <c r="AH419" s="208"/>
      <c r="AI419" s="208"/>
      <c r="AJ419" s="208"/>
      <c r="AK419" s="208"/>
      <c r="AL419" s="208"/>
      <c r="AM419" s="208"/>
    </row>
    <row r="420" spans="1:39" ht="13.8" x14ac:dyDescent="0.25">
      <c r="A420" s="206"/>
      <c r="H420" s="207"/>
      <c r="J420" s="3"/>
      <c r="AG420" s="208"/>
      <c r="AH420" s="208"/>
      <c r="AI420" s="208"/>
      <c r="AJ420" s="208"/>
      <c r="AK420" s="208"/>
      <c r="AL420" s="208"/>
      <c r="AM420" s="208"/>
    </row>
    <row r="421" spans="1:39" ht="13.8" x14ac:dyDescent="0.25">
      <c r="A421" s="206"/>
      <c r="H421" s="207"/>
      <c r="J421" s="3"/>
      <c r="AG421" s="208"/>
      <c r="AH421" s="208"/>
      <c r="AI421" s="208"/>
      <c r="AJ421" s="208"/>
      <c r="AK421" s="208"/>
      <c r="AL421" s="208"/>
      <c r="AM421" s="208"/>
    </row>
    <row r="422" spans="1:39" ht="13.8" x14ac:dyDescent="0.25">
      <c r="A422" s="206"/>
      <c r="H422" s="207"/>
      <c r="J422" s="3"/>
      <c r="AG422" s="208"/>
      <c r="AH422" s="208"/>
      <c r="AI422" s="208"/>
      <c r="AJ422" s="208"/>
      <c r="AK422" s="208"/>
      <c r="AL422" s="208"/>
      <c r="AM422" s="208"/>
    </row>
    <row r="423" spans="1:39" ht="13.8" x14ac:dyDescent="0.25">
      <c r="A423" s="206"/>
      <c r="H423" s="207"/>
      <c r="J423" s="3"/>
      <c r="AG423" s="208"/>
      <c r="AH423" s="208"/>
      <c r="AI423" s="208"/>
      <c r="AJ423" s="208"/>
      <c r="AK423" s="208"/>
      <c r="AL423" s="208"/>
      <c r="AM423" s="208"/>
    </row>
    <row r="424" spans="1:39" ht="13.8" x14ac:dyDescent="0.25">
      <c r="A424" s="206"/>
      <c r="H424" s="207"/>
      <c r="J424" s="3"/>
      <c r="AG424" s="208"/>
      <c r="AH424" s="208"/>
      <c r="AI424" s="208"/>
      <c r="AJ424" s="208"/>
      <c r="AK424" s="208"/>
      <c r="AL424" s="208"/>
      <c r="AM424" s="208"/>
    </row>
    <row r="425" spans="1:39" ht="13.8" x14ac:dyDescent="0.25">
      <c r="A425" s="206"/>
      <c r="H425" s="207"/>
      <c r="J425" s="3"/>
      <c r="AG425" s="208"/>
      <c r="AH425" s="208"/>
      <c r="AI425" s="208"/>
      <c r="AJ425" s="208"/>
      <c r="AK425" s="208"/>
      <c r="AL425" s="208"/>
      <c r="AM425" s="208"/>
    </row>
    <row r="426" spans="1:39" ht="13.8" x14ac:dyDescent="0.25">
      <c r="A426" s="206"/>
      <c r="H426" s="207"/>
      <c r="J426" s="3"/>
      <c r="AG426" s="208"/>
      <c r="AH426" s="208"/>
      <c r="AI426" s="208"/>
      <c r="AJ426" s="208"/>
      <c r="AK426" s="208"/>
      <c r="AL426" s="208"/>
      <c r="AM426" s="208"/>
    </row>
    <row r="427" spans="1:39" ht="13.8" x14ac:dyDescent="0.25">
      <c r="A427" s="206"/>
      <c r="H427" s="207"/>
      <c r="J427" s="3"/>
      <c r="AG427" s="208"/>
      <c r="AH427" s="208"/>
      <c r="AI427" s="208"/>
      <c r="AJ427" s="208"/>
      <c r="AK427" s="208"/>
      <c r="AL427" s="208"/>
      <c r="AM427" s="208"/>
    </row>
    <row r="428" spans="1:39" ht="13.8" x14ac:dyDescent="0.25">
      <c r="A428" s="206"/>
      <c r="H428" s="207"/>
      <c r="J428" s="3"/>
      <c r="AG428" s="208"/>
      <c r="AH428" s="208"/>
      <c r="AI428" s="208"/>
      <c r="AJ428" s="208"/>
      <c r="AK428" s="208"/>
      <c r="AL428" s="208"/>
      <c r="AM428" s="208"/>
    </row>
    <row r="429" spans="1:39" ht="13.8" x14ac:dyDescent="0.25">
      <c r="A429" s="206"/>
      <c r="H429" s="207"/>
      <c r="J429" s="3"/>
      <c r="AG429" s="208"/>
      <c r="AH429" s="208"/>
      <c r="AI429" s="208"/>
      <c r="AJ429" s="208"/>
      <c r="AK429" s="208"/>
      <c r="AL429" s="208"/>
      <c r="AM429" s="208"/>
    </row>
    <row r="430" spans="1:39" ht="13.8" x14ac:dyDescent="0.25">
      <c r="A430" s="206"/>
      <c r="H430" s="207"/>
      <c r="J430" s="3"/>
      <c r="AG430" s="208"/>
      <c r="AH430" s="208"/>
      <c r="AI430" s="208"/>
      <c r="AJ430" s="208"/>
      <c r="AK430" s="208"/>
      <c r="AL430" s="208"/>
      <c r="AM430" s="208"/>
    </row>
    <row r="431" spans="1:39" ht="13.8" x14ac:dyDescent="0.25">
      <c r="A431" s="206"/>
      <c r="H431" s="207"/>
      <c r="J431" s="3"/>
      <c r="AG431" s="208"/>
      <c r="AH431" s="208"/>
      <c r="AI431" s="208"/>
      <c r="AJ431" s="208"/>
      <c r="AK431" s="208"/>
      <c r="AL431" s="208"/>
      <c r="AM431" s="208"/>
    </row>
    <row r="432" spans="1:39" ht="13.8" x14ac:dyDescent="0.25">
      <c r="A432" s="206"/>
      <c r="H432" s="207"/>
      <c r="J432" s="3"/>
      <c r="AG432" s="208"/>
      <c r="AH432" s="208"/>
      <c r="AI432" s="208"/>
      <c r="AJ432" s="208"/>
      <c r="AK432" s="208"/>
      <c r="AL432" s="208"/>
      <c r="AM432" s="208"/>
    </row>
    <row r="433" spans="1:39" ht="13.8" x14ac:dyDescent="0.25">
      <c r="A433" s="206"/>
      <c r="H433" s="207"/>
      <c r="J433" s="3"/>
      <c r="AG433" s="208"/>
      <c r="AH433" s="208"/>
      <c r="AI433" s="208"/>
      <c r="AJ433" s="208"/>
      <c r="AK433" s="208"/>
      <c r="AL433" s="208"/>
      <c r="AM433" s="208"/>
    </row>
    <row r="434" spans="1:39" ht="13.8" x14ac:dyDescent="0.25">
      <c r="A434" s="206"/>
      <c r="H434" s="207"/>
      <c r="J434" s="3"/>
      <c r="AG434" s="208"/>
      <c r="AH434" s="208"/>
      <c r="AI434" s="208"/>
      <c r="AJ434" s="208"/>
      <c r="AK434" s="208"/>
      <c r="AL434" s="208"/>
      <c r="AM434" s="208"/>
    </row>
    <row r="435" spans="1:39" ht="13.8" x14ac:dyDescent="0.25">
      <c r="A435" s="206"/>
      <c r="H435" s="207"/>
      <c r="J435" s="3"/>
      <c r="AG435" s="208"/>
      <c r="AH435" s="208"/>
      <c r="AI435" s="208"/>
      <c r="AJ435" s="208"/>
      <c r="AK435" s="208"/>
      <c r="AL435" s="208"/>
      <c r="AM435" s="208"/>
    </row>
    <row r="436" spans="1:39" ht="13.8" x14ac:dyDescent="0.25">
      <c r="A436" s="206"/>
      <c r="H436" s="207"/>
      <c r="J436" s="3"/>
      <c r="AG436" s="208"/>
      <c r="AH436" s="208"/>
      <c r="AI436" s="208"/>
      <c r="AJ436" s="208"/>
      <c r="AK436" s="208"/>
      <c r="AL436" s="208"/>
      <c r="AM436" s="208"/>
    </row>
    <row r="437" spans="1:39" ht="13.8" x14ac:dyDescent="0.25">
      <c r="A437" s="206"/>
      <c r="H437" s="207"/>
      <c r="J437" s="3"/>
      <c r="AG437" s="208"/>
      <c r="AH437" s="208"/>
      <c r="AI437" s="208"/>
      <c r="AJ437" s="208"/>
      <c r="AK437" s="208"/>
      <c r="AL437" s="208"/>
      <c r="AM437" s="208"/>
    </row>
    <row r="438" spans="1:39" ht="13.8" x14ac:dyDescent="0.25">
      <c r="A438" s="206"/>
      <c r="H438" s="207"/>
      <c r="J438" s="3"/>
      <c r="AG438" s="208"/>
      <c r="AH438" s="208"/>
      <c r="AI438" s="208"/>
      <c r="AJ438" s="208"/>
      <c r="AK438" s="208"/>
      <c r="AL438" s="208"/>
      <c r="AM438" s="208"/>
    </row>
    <row r="439" spans="1:39" ht="13.8" x14ac:dyDescent="0.25">
      <c r="A439" s="206"/>
      <c r="H439" s="207"/>
      <c r="J439" s="3"/>
      <c r="AG439" s="208"/>
      <c r="AH439" s="208"/>
      <c r="AI439" s="208"/>
      <c r="AJ439" s="208"/>
      <c r="AK439" s="208"/>
      <c r="AL439" s="208"/>
      <c r="AM439" s="208"/>
    </row>
    <row r="440" spans="1:39" ht="13.8" x14ac:dyDescent="0.25">
      <c r="A440" s="206"/>
      <c r="H440" s="207"/>
      <c r="J440" s="3"/>
      <c r="AG440" s="208"/>
      <c r="AH440" s="208"/>
      <c r="AI440" s="208"/>
      <c r="AJ440" s="208"/>
      <c r="AK440" s="208"/>
      <c r="AL440" s="208"/>
      <c r="AM440" s="208"/>
    </row>
    <row r="441" spans="1:39" ht="13.8" x14ac:dyDescent="0.25">
      <c r="A441" s="206"/>
      <c r="H441" s="207"/>
      <c r="J441" s="3"/>
      <c r="AG441" s="208"/>
      <c r="AH441" s="208"/>
      <c r="AI441" s="208"/>
      <c r="AJ441" s="208"/>
      <c r="AK441" s="208"/>
      <c r="AL441" s="208"/>
      <c r="AM441" s="208"/>
    </row>
    <row r="442" spans="1:39" ht="13.8" x14ac:dyDescent="0.25">
      <c r="A442" s="206"/>
      <c r="H442" s="207"/>
      <c r="J442" s="3"/>
      <c r="AG442" s="208"/>
      <c r="AH442" s="208"/>
      <c r="AI442" s="208"/>
      <c r="AJ442" s="208"/>
      <c r="AK442" s="208"/>
      <c r="AL442" s="208"/>
      <c r="AM442" s="208"/>
    </row>
    <row r="443" spans="1:39" ht="13.8" x14ac:dyDescent="0.25">
      <c r="A443" s="206"/>
      <c r="H443" s="207"/>
      <c r="J443" s="3"/>
      <c r="AG443" s="208"/>
      <c r="AH443" s="208"/>
      <c r="AI443" s="208"/>
      <c r="AJ443" s="208"/>
      <c r="AK443" s="208"/>
      <c r="AL443" s="208"/>
      <c r="AM443" s="208"/>
    </row>
    <row r="444" spans="1:39" ht="13.8" x14ac:dyDescent="0.25">
      <c r="A444" s="206"/>
      <c r="H444" s="207"/>
      <c r="J444" s="3"/>
      <c r="AG444" s="208"/>
      <c r="AH444" s="208"/>
      <c r="AI444" s="208"/>
      <c r="AJ444" s="208"/>
      <c r="AK444" s="208"/>
      <c r="AL444" s="208"/>
      <c r="AM444" s="208"/>
    </row>
    <row r="445" spans="1:39" ht="13.8" x14ac:dyDescent="0.25">
      <c r="A445" s="206"/>
      <c r="H445" s="207"/>
      <c r="J445" s="3"/>
      <c r="AG445" s="208"/>
      <c r="AH445" s="208"/>
      <c r="AI445" s="208"/>
      <c r="AJ445" s="208"/>
      <c r="AK445" s="208"/>
      <c r="AL445" s="208"/>
      <c r="AM445" s="208"/>
    </row>
    <row r="446" spans="1:39" ht="13.8" x14ac:dyDescent="0.25">
      <c r="A446" s="206"/>
      <c r="H446" s="207"/>
      <c r="J446" s="3"/>
      <c r="AG446" s="208"/>
      <c r="AH446" s="208"/>
      <c r="AI446" s="208"/>
      <c r="AJ446" s="208"/>
      <c r="AK446" s="208"/>
      <c r="AL446" s="208"/>
      <c r="AM446" s="208"/>
    </row>
    <row r="447" spans="1:39" ht="13.8" x14ac:dyDescent="0.25">
      <c r="A447" s="206"/>
      <c r="H447" s="207"/>
      <c r="J447" s="3"/>
      <c r="AG447" s="208"/>
      <c r="AH447" s="208"/>
      <c r="AI447" s="208"/>
      <c r="AJ447" s="208"/>
      <c r="AK447" s="208"/>
      <c r="AL447" s="208"/>
      <c r="AM447" s="208"/>
    </row>
    <row r="448" spans="1:39" ht="13.8" x14ac:dyDescent="0.25">
      <c r="A448" s="206"/>
      <c r="H448" s="207"/>
      <c r="J448" s="3"/>
      <c r="AG448" s="208"/>
      <c r="AH448" s="208"/>
      <c r="AI448" s="208"/>
      <c r="AJ448" s="208"/>
      <c r="AK448" s="208"/>
      <c r="AL448" s="208"/>
      <c r="AM448" s="208"/>
    </row>
    <row r="449" spans="1:39" ht="13.8" x14ac:dyDescent="0.25">
      <c r="A449" s="206"/>
      <c r="H449" s="207"/>
      <c r="J449" s="3"/>
      <c r="AG449" s="208"/>
      <c r="AH449" s="208"/>
      <c r="AI449" s="208"/>
      <c r="AJ449" s="208"/>
      <c r="AK449" s="208"/>
      <c r="AL449" s="208"/>
      <c r="AM449" s="208"/>
    </row>
    <row r="450" spans="1:39" ht="13.8" x14ac:dyDescent="0.25">
      <c r="A450" s="206"/>
      <c r="H450" s="207"/>
      <c r="J450" s="3"/>
      <c r="AG450" s="208"/>
      <c r="AH450" s="208"/>
      <c r="AI450" s="208"/>
      <c r="AJ450" s="208"/>
      <c r="AK450" s="208"/>
      <c r="AL450" s="208"/>
      <c r="AM450" s="208"/>
    </row>
    <row r="451" spans="1:39" ht="13.8" x14ac:dyDescent="0.25">
      <c r="A451" s="206"/>
      <c r="H451" s="207"/>
      <c r="J451" s="3"/>
      <c r="AG451" s="208"/>
      <c r="AH451" s="208"/>
      <c r="AI451" s="208"/>
      <c r="AJ451" s="208"/>
      <c r="AK451" s="208"/>
      <c r="AL451" s="208"/>
      <c r="AM451" s="208"/>
    </row>
    <row r="452" spans="1:39" ht="13.8" x14ac:dyDescent="0.25">
      <c r="A452" s="206"/>
      <c r="H452" s="207"/>
      <c r="J452" s="3"/>
      <c r="AG452" s="208"/>
      <c r="AH452" s="208"/>
      <c r="AI452" s="208"/>
      <c r="AJ452" s="208"/>
      <c r="AK452" s="208"/>
      <c r="AL452" s="208"/>
      <c r="AM452" s="208"/>
    </row>
    <row r="453" spans="1:39" ht="13.8" x14ac:dyDescent="0.25">
      <c r="A453" s="206"/>
      <c r="H453" s="207"/>
      <c r="J453" s="3"/>
      <c r="AG453" s="208"/>
      <c r="AH453" s="208"/>
      <c r="AI453" s="208"/>
      <c r="AJ453" s="208"/>
      <c r="AK453" s="208"/>
      <c r="AL453" s="208"/>
      <c r="AM453" s="208"/>
    </row>
    <row r="454" spans="1:39" ht="13.8" x14ac:dyDescent="0.25">
      <c r="A454" s="206"/>
      <c r="H454" s="207"/>
      <c r="J454" s="3"/>
      <c r="AG454" s="208"/>
      <c r="AH454" s="208"/>
      <c r="AI454" s="208"/>
      <c r="AJ454" s="208"/>
      <c r="AK454" s="208"/>
      <c r="AL454" s="208"/>
      <c r="AM454" s="208"/>
    </row>
    <row r="455" spans="1:39" ht="13.8" x14ac:dyDescent="0.25">
      <c r="A455" s="206"/>
      <c r="H455" s="207"/>
      <c r="J455" s="3"/>
      <c r="AG455" s="208"/>
      <c r="AH455" s="208"/>
      <c r="AI455" s="208"/>
      <c r="AJ455" s="208"/>
      <c r="AK455" s="208"/>
      <c r="AL455" s="208"/>
      <c r="AM455" s="208"/>
    </row>
    <row r="456" spans="1:39" ht="13.8" x14ac:dyDescent="0.25">
      <c r="A456" s="206"/>
      <c r="H456" s="207"/>
      <c r="J456" s="3"/>
      <c r="AG456" s="208"/>
      <c r="AH456" s="208"/>
      <c r="AI456" s="208"/>
      <c r="AJ456" s="208"/>
      <c r="AK456" s="208"/>
      <c r="AL456" s="208"/>
      <c r="AM456" s="208"/>
    </row>
    <row r="457" spans="1:39" ht="13.8" x14ac:dyDescent="0.25">
      <c r="A457" s="206"/>
      <c r="H457" s="207"/>
      <c r="J457" s="3"/>
      <c r="AG457" s="208"/>
      <c r="AH457" s="208"/>
      <c r="AI457" s="208"/>
      <c r="AJ457" s="208"/>
      <c r="AK457" s="208"/>
      <c r="AL457" s="208"/>
      <c r="AM457" s="208"/>
    </row>
    <row r="458" spans="1:39" ht="13.8" x14ac:dyDescent="0.25">
      <c r="A458" s="206"/>
      <c r="H458" s="207"/>
      <c r="J458" s="3"/>
      <c r="AG458" s="208"/>
      <c r="AH458" s="208"/>
      <c r="AI458" s="208"/>
      <c r="AJ458" s="208"/>
      <c r="AK458" s="208"/>
      <c r="AL458" s="208"/>
      <c r="AM458" s="208"/>
    </row>
    <row r="459" spans="1:39" ht="13.8" x14ac:dyDescent="0.25">
      <c r="A459" s="206"/>
      <c r="H459" s="207"/>
      <c r="J459" s="3"/>
      <c r="AG459" s="208"/>
      <c r="AH459" s="208"/>
      <c r="AI459" s="208"/>
      <c r="AJ459" s="208"/>
      <c r="AK459" s="208"/>
      <c r="AL459" s="208"/>
      <c r="AM459" s="208"/>
    </row>
    <row r="460" spans="1:39" ht="13.8" x14ac:dyDescent="0.25">
      <c r="A460" s="206"/>
      <c r="H460" s="207"/>
      <c r="J460" s="3"/>
      <c r="AG460" s="208"/>
      <c r="AH460" s="208"/>
      <c r="AI460" s="208"/>
      <c r="AJ460" s="208"/>
      <c r="AK460" s="208"/>
      <c r="AL460" s="208"/>
      <c r="AM460" s="208"/>
    </row>
    <row r="461" spans="1:39" ht="13.8" x14ac:dyDescent="0.25">
      <c r="A461" s="206"/>
      <c r="H461" s="207"/>
      <c r="J461" s="3"/>
      <c r="AG461" s="208"/>
      <c r="AH461" s="208"/>
      <c r="AI461" s="208"/>
      <c r="AJ461" s="208"/>
      <c r="AK461" s="208"/>
      <c r="AL461" s="208"/>
      <c r="AM461" s="208"/>
    </row>
    <row r="462" spans="1:39" ht="13.8" x14ac:dyDescent="0.25">
      <c r="A462" s="206"/>
      <c r="H462" s="207"/>
      <c r="J462" s="3"/>
      <c r="AG462" s="208"/>
      <c r="AH462" s="208"/>
      <c r="AI462" s="208"/>
      <c r="AJ462" s="208"/>
      <c r="AK462" s="208"/>
      <c r="AL462" s="208"/>
      <c r="AM462" s="208"/>
    </row>
    <row r="463" spans="1:39" ht="13.8" x14ac:dyDescent="0.25">
      <c r="A463" s="206"/>
      <c r="H463" s="207"/>
      <c r="J463" s="3"/>
      <c r="AG463" s="208"/>
      <c r="AH463" s="208"/>
      <c r="AI463" s="208"/>
      <c r="AJ463" s="208"/>
      <c r="AK463" s="208"/>
      <c r="AL463" s="208"/>
      <c r="AM463" s="208"/>
    </row>
    <row r="464" spans="1:39" ht="13.8" x14ac:dyDescent="0.25">
      <c r="A464" s="206"/>
      <c r="H464" s="207"/>
      <c r="J464" s="3"/>
      <c r="AG464" s="208"/>
      <c r="AH464" s="208"/>
      <c r="AI464" s="208"/>
      <c r="AJ464" s="208"/>
      <c r="AK464" s="208"/>
      <c r="AL464" s="208"/>
      <c r="AM464" s="208"/>
    </row>
    <row r="465" spans="1:39" ht="13.8" x14ac:dyDescent="0.25">
      <c r="A465" s="206"/>
      <c r="H465" s="207"/>
      <c r="J465" s="3"/>
      <c r="AG465" s="208"/>
      <c r="AH465" s="208"/>
      <c r="AI465" s="208"/>
      <c r="AJ465" s="208"/>
      <c r="AK465" s="208"/>
      <c r="AL465" s="208"/>
      <c r="AM465" s="208"/>
    </row>
    <row r="466" spans="1:39" ht="13.8" x14ac:dyDescent="0.25">
      <c r="A466" s="206"/>
      <c r="H466" s="207"/>
      <c r="J466" s="3"/>
      <c r="AG466" s="208"/>
      <c r="AH466" s="208"/>
      <c r="AI466" s="208"/>
      <c r="AJ466" s="208"/>
      <c r="AK466" s="208"/>
      <c r="AL466" s="208"/>
      <c r="AM466" s="208"/>
    </row>
    <row r="467" spans="1:39" ht="13.8" x14ac:dyDescent="0.25">
      <c r="A467" s="206"/>
      <c r="H467" s="207"/>
      <c r="J467" s="3"/>
      <c r="AG467" s="208"/>
      <c r="AH467" s="208"/>
      <c r="AI467" s="208"/>
      <c r="AJ467" s="208"/>
      <c r="AK467" s="208"/>
      <c r="AL467" s="208"/>
      <c r="AM467" s="208"/>
    </row>
    <row r="468" spans="1:39" ht="13.8" x14ac:dyDescent="0.25">
      <c r="A468" s="206"/>
      <c r="H468" s="207"/>
      <c r="J468" s="3"/>
      <c r="AG468" s="208"/>
      <c r="AH468" s="208"/>
      <c r="AI468" s="208"/>
      <c r="AJ468" s="208"/>
      <c r="AK468" s="208"/>
      <c r="AL468" s="208"/>
      <c r="AM468" s="208"/>
    </row>
    <row r="469" spans="1:39" ht="13.8" x14ac:dyDescent="0.25">
      <c r="A469" s="206"/>
      <c r="H469" s="207"/>
      <c r="J469" s="3"/>
      <c r="AG469" s="208"/>
      <c r="AH469" s="208"/>
      <c r="AI469" s="208"/>
      <c r="AJ469" s="208"/>
      <c r="AK469" s="208"/>
      <c r="AL469" s="208"/>
      <c r="AM469" s="208"/>
    </row>
    <row r="470" spans="1:39" ht="13.8" x14ac:dyDescent="0.25">
      <c r="A470" s="206"/>
      <c r="H470" s="207"/>
      <c r="J470" s="3"/>
      <c r="AG470" s="208"/>
      <c r="AH470" s="208"/>
      <c r="AI470" s="208"/>
      <c r="AJ470" s="208"/>
      <c r="AK470" s="208"/>
      <c r="AL470" s="208"/>
      <c r="AM470" s="208"/>
    </row>
    <row r="471" spans="1:39" ht="13.8" x14ac:dyDescent="0.25">
      <c r="A471" s="206"/>
      <c r="H471" s="207"/>
      <c r="J471" s="3"/>
      <c r="AG471" s="208"/>
      <c r="AH471" s="208"/>
      <c r="AI471" s="208"/>
      <c r="AJ471" s="208"/>
      <c r="AK471" s="208"/>
      <c r="AL471" s="208"/>
      <c r="AM471" s="208"/>
    </row>
    <row r="472" spans="1:39" ht="13.8" x14ac:dyDescent="0.25">
      <c r="A472" s="206"/>
      <c r="H472" s="207"/>
      <c r="J472" s="3"/>
      <c r="AG472" s="208"/>
      <c r="AH472" s="208"/>
      <c r="AI472" s="208"/>
      <c r="AJ472" s="208"/>
      <c r="AK472" s="208"/>
      <c r="AL472" s="208"/>
      <c r="AM472" s="208"/>
    </row>
    <row r="473" spans="1:39" ht="13.8" x14ac:dyDescent="0.25">
      <c r="A473" s="206"/>
      <c r="H473" s="207"/>
      <c r="J473" s="3"/>
      <c r="AG473" s="208"/>
      <c r="AH473" s="208"/>
      <c r="AI473" s="208"/>
      <c r="AJ473" s="208"/>
      <c r="AK473" s="208"/>
      <c r="AL473" s="208"/>
      <c r="AM473" s="208"/>
    </row>
    <row r="474" spans="1:39" ht="13.8" x14ac:dyDescent="0.25">
      <c r="A474" s="206"/>
      <c r="H474" s="207"/>
      <c r="J474" s="3"/>
      <c r="AG474" s="208"/>
      <c r="AH474" s="208"/>
      <c r="AI474" s="208"/>
      <c r="AJ474" s="208"/>
      <c r="AK474" s="208"/>
      <c r="AL474" s="208"/>
      <c r="AM474" s="208"/>
    </row>
    <row r="475" spans="1:39" ht="13.8" x14ac:dyDescent="0.25">
      <c r="A475" s="206"/>
      <c r="H475" s="207"/>
      <c r="J475" s="3"/>
      <c r="AG475" s="208"/>
      <c r="AH475" s="208"/>
      <c r="AI475" s="208"/>
      <c r="AJ475" s="208"/>
      <c r="AK475" s="208"/>
      <c r="AL475" s="208"/>
      <c r="AM475" s="208"/>
    </row>
    <row r="476" spans="1:39" ht="13.8" x14ac:dyDescent="0.25">
      <c r="A476" s="206"/>
      <c r="H476" s="207"/>
      <c r="J476" s="3"/>
      <c r="AG476" s="208"/>
      <c r="AH476" s="208"/>
      <c r="AI476" s="208"/>
      <c r="AJ476" s="208"/>
      <c r="AK476" s="208"/>
      <c r="AL476" s="208"/>
      <c r="AM476" s="208"/>
    </row>
    <row r="477" spans="1:39" ht="13.8" x14ac:dyDescent="0.25">
      <c r="A477" s="206"/>
      <c r="H477" s="207"/>
      <c r="J477" s="3"/>
      <c r="AG477" s="208"/>
      <c r="AH477" s="208"/>
      <c r="AI477" s="208"/>
      <c r="AJ477" s="208"/>
      <c r="AK477" s="208"/>
      <c r="AL477" s="208"/>
      <c r="AM477" s="208"/>
    </row>
    <row r="478" spans="1:39" ht="13.8" x14ac:dyDescent="0.25">
      <c r="A478" s="206"/>
      <c r="H478" s="207"/>
      <c r="J478" s="3"/>
      <c r="AG478" s="208"/>
      <c r="AH478" s="208"/>
      <c r="AI478" s="208"/>
      <c r="AJ478" s="208"/>
      <c r="AK478" s="208"/>
      <c r="AL478" s="208"/>
      <c r="AM478" s="208"/>
    </row>
    <row r="479" spans="1:39" ht="13.8" x14ac:dyDescent="0.25">
      <c r="A479" s="206"/>
      <c r="H479" s="207"/>
      <c r="J479" s="3"/>
      <c r="AG479" s="208"/>
      <c r="AH479" s="208"/>
      <c r="AI479" s="208"/>
      <c r="AJ479" s="208"/>
      <c r="AK479" s="208"/>
      <c r="AL479" s="208"/>
      <c r="AM479" s="208"/>
    </row>
    <row r="480" spans="1:39" ht="13.8" x14ac:dyDescent="0.25">
      <c r="A480" s="206"/>
      <c r="H480" s="207"/>
      <c r="J480" s="3"/>
      <c r="AG480" s="208"/>
      <c r="AH480" s="208"/>
      <c r="AI480" s="208"/>
      <c r="AJ480" s="208"/>
      <c r="AK480" s="208"/>
      <c r="AL480" s="208"/>
      <c r="AM480" s="208"/>
    </row>
    <row r="481" spans="1:39" ht="13.8" x14ac:dyDescent="0.25">
      <c r="A481" s="206"/>
      <c r="H481" s="207"/>
      <c r="J481" s="3"/>
      <c r="AG481" s="208"/>
      <c r="AH481" s="208"/>
      <c r="AI481" s="208"/>
      <c r="AJ481" s="208"/>
      <c r="AK481" s="208"/>
      <c r="AL481" s="208"/>
      <c r="AM481" s="208"/>
    </row>
    <row r="482" spans="1:39" ht="13.8" x14ac:dyDescent="0.25">
      <c r="A482" s="206"/>
      <c r="H482" s="207"/>
      <c r="J482" s="3"/>
      <c r="AG482" s="208"/>
      <c r="AH482" s="208"/>
      <c r="AI482" s="208"/>
      <c r="AJ482" s="208"/>
      <c r="AK482" s="208"/>
      <c r="AL482" s="208"/>
      <c r="AM482" s="208"/>
    </row>
    <row r="483" spans="1:39" ht="13.8" x14ac:dyDescent="0.25">
      <c r="A483" s="206"/>
      <c r="H483" s="207"/>
      <c r="J483" s="3"/>
      <c r="AG483" s="208"/>
      <c r="AH483" s="208"/>
      <c r="AI483" s="208"/>
      <c r="AJ483" s="208"/>
      <c r="AK483" s="208"/>
      <c r="AL483" s="208"/>
      <c r="AM483" s="208"/>
    </row>
    <row r="484" spans="1:39" ht="13.8" x14ac:dyDescent="0.25">
      <c r="A484" s="206"/>
      <c r="H484" s="207"/>
      <c r="J484" s="3"/>
      <c r="AG484" s="208"/>
      <c r="AH484" s="208"/>
      <c r="AI484" s="208"/>
      <c r="AJ484" s="208"/>
      <c r="AK484" s="208"/>
      <c r="AL484" s="208"/>
      <c r="AM484" s="208"/>
    </row>
    <row r="485" spans="1:39" ht="13.8" x14ac:dyDescent="0.25">
      <c r="A485" s="206"/>
      <c r="H485" s="207"/>
      <c r="J485" s="3"/>
      <c r="AG485" s="208"/>
      <c r="AH485" s="208"/>
      <c r="AI485" s="208"/>
      <c r="AJ485" s="208"/>
      <c r="AK485" s="208"/>
      <c r="AL485" s="208"/>
      <c r="AM485" s="208"/>
    </row>
    <row r="486" spans="1:39" ht="13.8" x14ac:dyDescent="0.25">
      <c r="A486" s="206"/>
      <c r="H486" s="207"/>
      <c r="J486" s="3"/>
      <c r="AG486" s="208"/>
      <c r="AH486" s="208"/>
      <c r="AI486" s="208"/>
      <c r="AJ486" s="208"/>
      <c r="AK486" s="208"/>
      <c r="AL486" s="208"/>
      <c r="AM486" s="208"/>
    </row>
    <row r="487" spans="1:39" ht="13.8" x14ac:dyDescent="0.25">
      <c r="A487" s="206"/>
      <c r="H487" s="207"/>
      <c r="J487" s="3"/>
      <c r="AG487" s="208"/>
      <c r="AH487" s="208"/>
      <c r="AI487" s="208"/>
      <c r="AJ487" s="208"/>
      <c r="AK487" s="208"/>
      <c r="AL487" s="208"/>
      <c r="AM487" s="208"/>
    </row>
    <row r="488" spans="1:39" ht="13.8" x14ac:dyDescent="0.25">
      <c r="A488" s="206"/>
      <c r="H488" s="207"/>
      <c r="J488" s="3"/>
      <c r="AG488" s="208"/>
      <c r="AH488" s="208"/>
      <c r="AI488" s="208"/>
      <c r="AJ488" s="208"/>
      <c r="AK488" s="208"/>
      <c r="AL488" s="208"/>
      <c r="AM488" s="208"/>
    </row>
    <row r="489" spans="1:39" ht="13.8" x14ac:dyDescent="0.25">
      <c r="A489" s="206"/>
      <c r="H489" s="207"/>
      <c r="J489" s="3"/>
      <c r="AG489" s="208"/>
      <c r="AH489" s="208"/>
      <c r="AI489" s="208"/>
      <c r="AJ489" s="208"/>
      <c r="AK489" s="208"/>
      <c r="AL489" s="208"/>
      <c r="AM489" s="208"/>
    </row>
    <row r="490" spans="1:39" ht="13.8" x14ac:dyDescent="0.25">
      <c r="A490" s="206"/>
      <c r="H490" s="207"/>
      <c r="J490" s="3"/>
      <c r="AG490" s="208"/>
      <c r="AH490" s="208"/>
      <c r="AI490" s="208"/>
      <c r="AJ490" s="208"/>
      <c r="AK490" s="208"/>
      <c r="AL490" s="208"/>
      <c r="AM490" s="208"/>
    </row>
    <row r="491" spans="1:39" ht="13.8" x14ac:dyDescent="0.25">
      <c r="A491" s="206"/>
      <c r="H491" s="207"/>
      <c r="J491" s="3"/>
      <c r="AG491" s="208"/>
      <c r="AH491" s="208"/>
      <c r="AI491" s="208"/>
      <c r="AJ491" s="208"/>
      <c r="AK491" s="208"/>
      <c r="AL491" s="208"/>
      <c r="AM491" s="208"/>
    </row>
    <row r="492" spans="1:39" ht="13.8" x14ac:dyDescent="0.25">
      <c r="A492" s="206"/>
      <c r="H492" s="207"/>
      <c r="J492" s="3"/>
      <c r="AG492" s="208"/>
      <c r="AH492" s="208"/>
      <c r="AI492" s="208"/>
      <c r="AJ492" s="208"/>
      <c r="AK492" s="208"/>
      <c r="AL492" s="208"/>
      <c r="AM492" s="208"/>
    </row>
    <row r="493" spans="1:39" ht="13.8" x14ac:dyDescent="0.25">
      <c r="A493" s="206"/>
      <c r="H493" s="207"/>
      <c r="J493" s="3"/>
      <c r="AG493" s="208"/>
      <c r="AH493" s="208"/>
      <c r="AI493" s="208"/>
      <c r="AJ493" s="208"/>
      <c r="AK493" s="208"/>
      <c r="AL493" s="208"/>
      <c r="AM493" s="208"/>
    </row>
    <row r="494" spans="1:39" ht="13.8" x14ac:dyDescent="0.25">
      <c r="A494" s="206"/>
      <c r="H494" s="207"/>
      <c r="J494" s="3"/>
      <c r="AG494" s="208"/>
      <c r="AH494" s="208"/>
      <c r="AI494" s="208"/>
      <c r="AJ494" s="208"/>
      <c r="AK494" s="208"/>
      <c r="AL494" s="208"/>
      <c r="AM494" s="208"/>
    </row>
    <row r="495" spans="1:39" ht="13.8" x14ac:dyDescent="0.25">
      <c r="A495" s="206"/>
      <c r="H495" s="207"/>
      <c r="J495" s="3"/>
      <c r="AG495" s="208"/>
      <c r="AH495" s="208"/>
      <c r="AI495" s="208"/>
      <c r="AJ495" s="208"/>
      <c r="AK495" s="208"/>
      <c r="AL495" s="208"/>
      <c r="AM495" s="208"/>
    </row>
    <row r="496" spans="1:39" ht="13.8" x14ac:dyDescent="0.25">
      <c r="A496" s="206"/>
      <c r="H496" s="207"/>
      <c r="J496" s="3"/>
      <c r="AG496" s="208"/>
      <c r="AH496" s="208"/>
      <c r="AI496" s="208"/>
      <c r="AJ496" s="208"/>
      <c r="AK496" s="208"/>
      <c r="AL496" s="208"/>
      <c r="AM496" s="208"/>
    </row>
    <row r="497" spans="1:39" ht="13.8" x14ac:dyDescent="0.25">
      <c r="A497" s="206"/>
      <c r="H497" s="207"/>
      <c r="J497" s="3"/>
      <c r="AG497" s="208"/>
      <c r="AH497" s="208"/>
      <c r="AI497" s="208"/>
      <c r="AJ497" s="208"/>
      <c r="AK497" s="208"/>
      <c r="AL497" s="208"/>
      <c r="AM497" s="208"/>
    </row>
    <row r="498" spans="1:39" ht="13.8" x14ac:dyDescent="0.25">
      <c r="A498" s="206"/>
      <c r="H498" s="207"/>
      <c r="J498" s="3"/>
      <c r="AG498" s="208"/>
      <c r="AH498" s="208"/>
      <c r="AI498" s="208"/>
      <c r="AJ498" s="208"/>
      <c r="AK498" s="208"/>
      <c r="AL498" s="208"/>
      <c r="AM498" s="208"/>
    </row>
    <row r="499" spans="1:39" ht="13.8" x14ac:dyDescent="0.25">
      <c r="A499" s="206"/>
      <c r="H499" s="207"/>
      <c r="J499" s="3"/>
      <c r="AG499" s="208"/>
      <c r="AH499" s="208"/>
      <c r="AI499" s="208"/>
      <c r="AJ499" s="208"/>
      <c r="AK499" s="208"/>
      <c r="AL499" s="208"/>
      <c r="AM499" s="208"/>
    </row>
    <row r="500" spans="1:39" ht="13.8" x14ac:dyDescent="0.25">
      <c r="A500" s="206"/>
      <c r="H500" s="207"/>
      <c r="J500" s="3"/>
      <c r="AG500" s="208"/>
      <c r="AH500" s="208"/>
      <c r="AI500" s="208"/>
      <c r="AJ500" s="208"/>
      <c r="AK500" s="208"/>
      <c r="AL500" s="208"/>
      <c r="AM500" s="208"/>
    </row>
    <row r="501" spans="1:39" ht="13.8" x14ac:dyDescent="0.25">
      <c r="A501" s="206"/>
      <c r="H501" s="207"/>
      <c r="J501" s="3"/>
      <c r="AG501" s="208"/>
      <c r="AH501" s="208"/>
      <c r="AI501" s="208"/>
      <c r="AJ501" s="208"/>
      <c r="AK501" s="208"/>
      <c r="AL501" s="208"/>
      <c r="AM501" s="208"/>
    </row>
    <row r="502" spans="1:39" ht="13.8" x14ac:dyDescent="0.25">
      <c r="A502" s="206"/>
      <c r="H502" s="207"/>
      <c r="J502" s="3"/>
      <c r="AG502" s="208"/>
      <c r="AH502" s="208"/>
      <c r="AI502" s="208"/>
      <c r="AJ502" s="208"/>
      <c r="AK502" s="208"/>
      <c r="AL502" s="208"/>
      <c r="AM502" s="208"/>
    </row>
    <row r="503" spans="1:39" ht="13.8" x14ac:dyDescent="0.25">
      <c r="A503" s="206"/>
      <c r="H503" s="207"/>
      <c r="J503" s="3"/>
      <c r="AG503" s="208"/>
      <c r="AH503" s="208"/>
      <c r="AI503" s="208"/>
      <c r="AJ503" s="208"/>
      <c r="AK503" s="208"/>
      <c r="AL503" s="208"/>
      <c r="AM503" s="208"/>
    </row>
    <row r="504" spans="1:39" ht="13.8" x14ac:dyDescent="0.25">
      <c r="A504" s="206"/>
      <c r="H504" s="207"/>
      <c r="J504" s="3"/>
      <c r="AG504" s="208"/>
      <c r="AH504" s="208"/>
      <c r="AI504" s="208"/>
      <c r="AJ504" s="208"/>
      <c r="AK504" s="208"/>
      <c r="AL504" s="208"/>
      <c r="AM504" s="208"/>
    </row>
    <row r="505" spans="1:39" ht="13.8" x14ac:dyDescent="0.25">
      <c r="A505" s="206"/>
      <c r="H505" s="207"/>
      <c r="J505" s="3"/>
      <c r="AG505" s="208"/>
      <c r="AH505" s="208"/>
      <c r="AI505" s="208"/>
      <c r="AJ505" s="208"/>
      <c r="AK505" s="208"/>
      <c r="AL505" s="208"/>
      <c r="AM505" s="208"/>
    </row>
    <row r="506" spans="1:39" ht="13.8" x14ac:dyDescent="0.25">
      <c r="A506" s="206"/>
      <c r="H506" s="207"/>
      <c r="J506" s="3"/>
      <c r="AG506" s="208"/>
      <c r="AH506" s="208"/>
      <c r="AI506" s="208"/>
      <c r="AJ506" s="208"/>
      <c r="AK506" s="208"/>
      <c r="AL506" s="208"/>
      <c r="AM506" s="208"/>
    </row>
    <row r="507" spans="1:39" ht="13.8" x14ac:dyDescent="0.25">
      <c r="A507" s="206"/>
      <c r="H507" s="207"/>
      <c r="J507" s="3"/>
      <c r="AG507" s="208"/>
      <c r="AH507" s="208"/>
      <c r="AI507" s="208"/>
      <c r="AJ507" s="208"/>
      <c r="AK507" s="208"/>
      <c r="AL507" s="208"/>
      <c r="AM507" s="208"/>
    </row>
    <row r="508" spans="1:39" ht="13.8" x14ac:dyDescent="0.25">
      <c r="A508" s="206"/>
      <c r="H508" s="207"/>
      <c r="J508" s="3"/>
      <c r="AG508" s="208"/>
      <c r="AH508" s="208"/>
      <c r="AI508" s="208"/>
      <c r="AJ508" s="208"/>
      <c r="AK508" s="208"/>
      <c r="AL508" s="208"/>
      <c r="AM508" s="208"/>
    </row>
    <row r="509" spans="1:39" ht="13.8" x14ac:dyDescent="0.25">
      <c r="A509" s="206"/>
      <c r="H509" s="207"/>
      <c r="J509" s="3"/>
      <c r="AG509" s="208"/>
      <c r="AH509" s="208"/>
      <c r="AI509" s="208"/>
      <c r="AJ509" s="208"/>
      <c r="AK509" s="208"/>
      <c r="AL509" s="208"/>
      <c r="AM509" s="208"/>
    </row>
    <row r="510" spans="1:39" ht="13.8" x14ac:dyDescent="0.25">
      <c r="A510" s="206"/>
      <c r="H510" s="207"/>
      <c r="J510" s="3"/>
      <c r="AG510" s="208"/>
      <c r="AH510" s="208"/>
      <c r="AI510" s="208"/>
      <c r="AJ510" s="208"/>
      <c r="AK510" s="208"/>
      <c r="AL510" s="208"/>
      <c r="AM510" s="208"/>
    </row>
    <row r="511" spans="1:39" ht="13.8" x14ac:dyDescent="0.25">
      <c r="A511" s="206"/>
      <c r="H511" s="207"/>
      <c r="J511" s="3"/>
      <c r="AG511" s="208"/>
      <c r="AH511" s="208"/>
      <c r="AI511" s="208"/>
      <c r="AJ511" s="208"/>
      <c r="AK511" s="208"/>
      <c r="AL511" s="208"/>
      <c r="AM511" s="208"/>
    </row>
    <row r="512" spans="1:39" ht="13.8" x14ac:dyDescent="0.25">
      <c r="A512" s="206"/>
      <c r="H512" s="207"/>
      <c r="J512" s="3"/>
      <c r="AG512" s="208"/>
      <c r="AH512" s="208"/>
      <c r="AI512" s="208"/>
      <c r="AJ512" s="208"/>
      <c r="AK512" s="208"/>
      <c r="AL512" s="208"/>
      <c r="AM512" s="208"/>
    </row>
    <row r="513" spans="1:39" ht="13.8" x14ac:dyDescent="0.25">
      <c r="A513" s="206"/>
      <c r="H513" s="207"/>
      <c r="J513" s="3"/>
      <c r="AG513" s="208"/>
      <c r="AH513" s="208"/>
      <c r="AI513" s="208"/>
      <c r="AJ513" s="208"/>
      <c r="AK513" s="208"/>
      <c r="AL513" s="208"/>
      <c r="AM513" s="208"/>
    </row>
    <row r="514" spans="1:39" ht="13.8" x14ac:dyDescent="0.25">
      <c r="A514" s="206"/>
      <c r="H514" s="207"/>
      <c r="J514" s="3"/>
      <c r="AG514" s="208"/>
      <c r="AH514" s="208"/>
      <c r="AI514" s="208"/>
      <c r="AJ514" s="208"/>
      <c r="AK514" s="208"/>
      <c r="AL514" s="208"/>
      <c r="AM514" s="208"/>
    </row>
    <row r="515" spans="1:39" ht="13.8" x14ac:dyDescent="0.25">
      <c r="A515" s="206"/>
      <c r="H515" s="207"/>
      <c r="J515" s="3"/>
      <c r="AG515" s="208"/>
      <c r="AH515" s="208"/>
      <c r="AI515" s="208"/>
      <c r="AJ515" s="208"/>
      <c r="AK515" s="208"/>
      <c r="AL515" s="208"/>
      <c r="AM515" s="208"/>
    </row>
    <row r="516" spans="1:39" ht="13.8" x14ac:dyDescent="0.25">
      <c r="A516" s="206"/>
      <c r="H516" s="207"/>
      <c r="J516" s="3"/>
      <c r="AG516" s="208"/>
      <c r="AH516" s="208"/>
      <c r="AI516" s="208"/>
      <c r="AJ516" s="208"/>
      <c r="AK516" s="208"/>
      <c r="AL516" s="208"/>
      <c r="AM516" s="208"/>
    </row>
    <row r="517" spans="1:39" ht="13.8" x14ac:dyDescent="0.25">
      <c r="A517" s="206"/>
      <c r="H517" s="207"/>
      <c r="J517" s="3"/>
      <c r="AG517" s="208"/>
      <c r="AH517" s="208"/>
      <c r="AI517" s="208"/>
      <c r="AJ517" s="208"/>
      <c r="AK517" s="208"/>
      <c r="AL517" s="208"/>
      <c r="AM517" s="208"/>
    </row>
    <row r="518" spans="1:39" ht="13.8" x14ac:dyDescent="0.25">
      <c r="A518" s="206"/>
      <c r="H518" s="207"/>
      <c r="J518" s="3"/>
      <c r="AG518" s="208"/>
      <c r="AH518" s="208"/>
      <c r="AI518" s="208"/>
      <c r="AJ518" s="208"/>
      <c r="AK518" s="208"/>
      <c r="AL518" s="208"/>
      <c r="AM518" s="208"/>
    </row>
    <row r="519" spans="1:39" ht="13.8" x14ac:dyDescent="0.25">
      <c r="A519" s="206"/>
      <c r="H519" s="207"/>
      <c r="J519" s="3"/>
      <c r="AG519" s="208"/>
      <c r="AH519" s="208"/>
      <c r="AI519" s="208"/>
      <c r="AJ519" s="208"/>
      <c r="AK519" s="208"/>
      <c r="AL519" s="208"/>
      <c r="AM519" s="208"/>
    </row>
    <row r="520" spans="1:39" ht="13.8" x14ac:dyDescent="0.25">
      <c r="A520" s="206"/>
      <c r="H520" s="207"/>
      <c r="J520" s="3"/>
      <c r="AG520" s="208"/>
      <c r="AH520" s="208"/>
      <c r="AI520" s="208"/>
      <c r="AJ520" s="208"/>
      <c r="AK520" s="208"/>
      <c r="AL520" s="208"/>
      <c r="AM520" s="208"/>
    </row>
    <row r="521" spans="1:39" ht="13.8" x14ac:dyDescent="0.25">
      <c r="A521" s="206"/>
      <c r="H521" s="207"/>
      <c r="J521" s="3"/>
      <c r="AG521" s="208"/>
      <c r="AH521" s="208"/>
      <c r="AI521" s="208"/>
      <c r="AJ521" s="208"/>
      <c r="AK521" s="208"/>
      <c r="AL521" s="208"/>
      <c r="AM521" s="208"/>
    </row>
    <row r="522" spans="1:39" ht="13.8" x14ac:dyDescent="0.25">
      <c r="A522" s="206"/>
      <c r="H522" s="207"/>
      <c r="J522" s="3"/>
      <c r="AG522" s="208"/>
      <c r="AH522" s="208"/>
      <c r="AI522" s="208"/>
      <c r="AJ522" s="208"/>
      <c r="AK522" s="208"/>
      <c r="AL522" s="208"/>
      <c r="AM522" s="208"/>
    </row>
    <row r="523" spans="1:39" ht="13.8" x14ac:dyDescent="0.25">
      <c r="A523" s="206"/>
      <c r="H523" s="207"/>
      <c r="J523" s="3"/>
      <c r="AG523" s="208"/>
      <c r="AH523" s="208"/>
      <c r="AI523" s="208"/>
      <c r="AJ523" s="208"/>
      <c r="AK523" s="208"/>
      <c r="AL523" s="208"/>
      <c r="AM523" s="208"/>
    </row>
    <row r="524" spans="1:39" ht="13.8" x14ac:dyDescent="0.25">
      <c r="A524" s="206"/>
      <c r="H524" s="207"/>
      <c r="J524" s="3"/>
      <c r="AG524" s="208"/>
      <c r="AH524" s="208"/>
      <c r="AI524" s="208"/>
      <c r="AJ524" s="208"/>
      <c r="AK524" s="208"/>
      <c r="AL524" s="208"/>
      <c r="AM524" s="208"/>
    </row>
    <row r="525" spans="1:39" ht="13.8" x14ac:dyDescent="0.25">
      <c r="A525" s="206"/>
      <c r="H525" s="207"/>
      <c r="J525" s="3"/>
      <c r="AG525" s="208"/>
      <c r="AH525" s="208"/>
      <c r="AI525" s="208"/>
      <c r="AJ525" s="208"/>
      <c r="AK525" s="208"/>
      <c r="AL525" s="208"/>
      <c r="AM525" s="208"/>
    </row>
    <row r="526" spans="1:39" ht="13.8" x14ac:dyDescent="0.25">
      <c r="A526" s="206"/>
      <c r="H526" s="207"/>
      <c r="J526" s="3"/>
      <c r="AG526" s="208"/>
      <c r="AH526" s="208"/>
      <c r="AI526" s="208"/>
      <c r="AJ526" s="208"/>
      <c r="AK526" s="208"/>
      <c r="AL526" s="208"/>
      <c r="AM526" s="208"/>
    </row>
    <row r="527" spans="1:39" ht="13.8" x14ac:dyDescent="0.25">
      <c r="A527" s="206"/>
      <c r="H527" s="207"/>
      <c r="J527" s="3"/>
      <c r="AG527" s="208"/>
      <c r="AH527" s="208"/>
      <c r="AI527" s="208"/>
      <c r="AJ527" s="208"/>
      <c r="AK527" s="208"/>
      <c r="AL527" s="208"/>
      <c r="AM527" s="208"/>
    </row>
    <row r="528" spans="1:39" ht="13.8" x14ac:dyDescent="0.25">
      <c r="A528" s="206"/>
      <c r="H528" s="207"/>
      <c r="J528" s="3"/>
      <c r="AG528" s="208"/>
      <c r="AH528" s="208"/>
      <c r="AI528" s="208"/>
      <c r="AJ528" s="208"/>
      <c r="AK528" s="208"/>
      <c r="AL528" s="208"/>
      <c r="AM528" s="208"/>
    </row>
    <row r="529" spans="1:39" ht="13.8" x14ac:dyDescent="0.25">
      <c r="A529" s="206"/>
      <c r="H529" s="207"/>
      <c r="J529" s="3"/>
      <c r="AG529" s="208"/>
      <c r="AH529" s="208"/>
      <c r="AI529" s="208"/>
      <c r="AJ529" s="208"/>
      <c r="AK529" s="208"/>
      <c r="AL529" s="208"/>
      <c r="AM529" s="208"/>
    </row>
    <row r="530" spans="1:39" ht="13.8" x14ac:dyDescent="0.25">
      <c r="A530" s="206"/>
      <c r="H530" s="207"/>
      <c r="J530" s="3"/>
      <c r="AG530" s="208"/>
      <c r="AH530" s="208"/>
      <c r="AI530" s="208"/>
      <c r="AJ530" s="208"/>
      <c r="AK530" s="208"/>
      <c r="AL530" s="208"/>
      <c r="AM530" s="208"/>
    </row>
    <row r="531" spans="1:39" ht="13.8" x14ac:dyDescent="0.25">
      <c r="A531" s="206"/>
      <c r="H531" s="207"/>
      <c r="J531" s="3"/>
      <c r="AG531" s="208"/>
      <c r="AH531" s="208"/>
      <c r="AI531" s="208"/>
      <c r="AJ531" s="208"/>
      <c r="AK531" s="208"/>
      <c r="AL531" s="208"/>
      <c r="AM531" s="208"/>
    </row>
    <row r="532" spans="1:39" ht="13.8" x14ac:dyDescent="0.25">
      <c r="A532" s="206"/>
      <c r="H532" s="207"/>
      <c r="J532" s="3"/>
      <c r="AG532" s="208"/>
      <c r="AH532" s="208"/>
      <c r="AI532" s="208"/>
      <c r="AJ532" s="208"/>
      <c r="AK532" s="208"/>
      <c r="AL532" s="208"/>
      <c r="AM532" s="208"/>
    </row>
    <row r="533" spans="1:39" ht="13.8" x14ac:dyDescent="0.25">
      <c r="A533" s="206"/>
      <c r="H533" s="207"/>
      <c r="J533" s="3"/>
      <c r="AG533" s="208"/>
      <c r="AH533" s="208"/>
      <c r="AI533" s="208"/>
      <c r="AJ533" s="208"/>
      <c r="AK533" s="208"/>
      <c r="AL533" s="208"/>
      <c r="AM533" s="208"/>
    </row>
    <row r="534" spans="1:39" ht="13.8" x14ac:dyDescent="0.25">
      <c r="A534" s="206"/>
      <c r="H534" s="207"/>
      <c r="J534" s="3"/>
      <c r="AG534" s="208"/>
      <c r="AH534" s="208"/>
      <c r="AI534" s="208"/>
      <c r="AJ534" s="208"/>
      <c r="AK534" s="208"/>
      <c r="AL534" s="208"/>
      <c r="AM534" s="208"/>
    </row>
    <row r="535" spans="1:39" ht="13.8" x14ac:dyDescent="0.25">
      <c r="A535" s="206"/>
      <c r="H535" s="207"/>
      <c r="J535" s="3"/>
      <c r="AG535" s="208"/>
      <c r="AH535" s="208"/>
      <c r="AI535" s="208"/>
      <c r="AJ535" s="208"/>
      <c r="AK535" s="208"/>
      <c r="AL535" s="208"/>
      <c r="AM535" s="208"/>
    </row>
    <row r="536" spans="1:39" ht="13.8" x14ac:dyDescent="0.25">
      <c r="A536" s="206"/>
      <c r="H536" s="207"/>
      <c r="J536" s="3"/>
      <c r="AG536" s="208"/>
      <c r="AH536" s="208"/>
      <c r="AI536" s="208"/>
      <c r="AJ536" s="208"/>
      <c r="AK536" s="208"/>
      <c r="AL536" s="208"/>
      <c r="AM536" s="208"/>
    </row>
    <row r="537" spans="1:39" ht="13.8" x14ac:dyDescent="0.25">
      <c r="A537" s="206"/>
      <c r="H537" s="207"/>
      <c r="J537" s="3"/>
      <c r="AG537" s="208"/>
      <c r="AH537" s="208"/>
      <c r="AI537" s="208"/>
      <c r="AJ537" s="208"/>
      <c r="AK537" s="208"/>
      <c r="AL537" s="208"/>
      <c r="AM537" s="208"/>
    </row>
    <row r="538" spans="1:39" ht="13.8" x14ac:dyDescent="0.25">
      <c r="A538" s="206"/>
      <c r="H538" s="207"/>
      <c r="J538" s="3"/>
      <c r="AG538" s="208"/>
      <c r="AH538" s="208"/>
      <c r="AI538" s="208"/>
      <c r="AJ538" s="208"/>
      <c r="AK538" s="208"/>
      <c r="AL538" s="208"/>
      <c r="AM538" s="208"/>
    </row>
    <row r="539" spans="1:39" ht="13.8" x14ac:dyDescent="0.25">
      <c r="A539" s="206"/>
      <c r="H539" s="207"/>
      <c r="J539" s="3"/>
      <c r="AG539" s="208"/>
      <c r="AH539" s="208"/>
      <c r="AI539" s="208"/>
      <c r="AJ539" s="208"/>
      <c r="AK539" s="208"/>
      <c r="AL539" s="208"/>
      <c r="AM539" s="208"/>
    </row>
    <row r="540" spans="1:39" ht="13.8" x14ac:dyDescent="0.25">
      <c r="A540" s="206"/>
      <c r="H540" s="207"/>
      <c r="J540" s="3"/>
      <c r="AG540" s="208"/>
      <c r="AH540" s="208"/>
      <c r="AI540" s="208"/>
      <c r="AJ540" s="208"/>
      <c r="AK540" s="208"/>
      <c r="AL540" s="208"/>
      <c r="AM540" s="208"/>
    </row>
    <row r="541" spans="1:39" ht="13.8" x14ac:dyDescent="0.25">
      <c r="A541" s="206"/>
      <c r="H541" s="207"/>
      <c r="J541" s="3"/>
      <c r="AG541" s="208"/>
      <c r="AH541" s="208"/>
      <c r="AI541" s="208"/>
      <c r="AJ541" s="208"/>
      <c r="AK541" s="208"/>
      <c r="AL541" s="208"/>
      <c r="AM541" s="208"/>
    </row>
    <row r="542" spans="1:39" ht="13.8" x14ac:dyDescent="0.25">
      <c r="A542" s="206"/>
      <c r="H542" s="207"/>
      <c r="J542" s="3"/>
      <c r="AG542" s="208"/>
      <c r="AH542" s="208"/>
      <c r="AI542" s="208"/>
      <c r="AJ542" s="208"/>
      <c r="AK542" s="208"/>
      <c r="AL542" s="208"/>
      <c r="AM542" s="208"/>
    </row>
    <row r="543" spans="1:39" ht="13.8" x14ac:dyDescent="0.25">
      <c r="A543" s="206"/>
      <c r="H543" s="207"/>
      <c r="J543" s="3"/>
      <c r="AG543" s="208"/>
      <c r="AH543" s="208"/>
      <c r="AI543" s="208"/>
      <c r="AJ543" s="208"/>
      <c r="AK543" s="208"/>
      <c r="AL543" s="208"/>
      <c r="AM543" s="208"/>
    </row>
    <row r="544" spans="1:39" ht="13.8" x14ac:dyDescent="0.25">
      <c r="A544" s="206"/>
      <c r="H544" s="207"/>
      <c r="J544" s="3"/>
      <c r="AG544" s="208"/>
      <c r="AH544" s="208"/>
      <c r="AI544" s="208"/>
      <c r="AJ544" s="208"/>
      <c r="AK544" s="208"/>
      <c r="AL544" s="208"/>
      <c r="AM544" s="208"/>
    </row>
    <row r="545" spans="1:39" ht="13.8" x14ac:dyDescent="0.25">
      <c r="A545" s="206"/>
      <c r="H545" s="207"/>
      <c r="J545" s="3"/>
      <c r="AG545" s="208"/>
      <c r="AH545" s="208"/>
      <c r="AI545" s="208"/>
      <c r="AJ545" s="208"/>
      <c r="AK545" s="208"/>
      <c r="AL545" s="208"/>
      <c r="AM545" s="208"/>
    </row>
    <row r="546" spans="1:39" ht="13.8" x14ac:dyDescent="0.25">
      <c r="A546" s="206"/>
      <c r="H546" s="207"/>
      <c r="J546" s="3"/>
      <c r="AG546" s="208"/>
      <c r="AH546" s="208"/>
      <c r="AI546" s="208"/>
      <c r="AJ546" s="208"/>
      <c r="AK546" s="208"/>
      <c r="AL546" s="208"/>
      <c r="AM546" s="208"/>
    </row>
    <row r="547" spans="1:39" ht="13.8" x14ac:dyDescent="0.25">
      <c r="A547" s="206"/>
      <c r="H547" s="207"/>
      <c r="J547" s="3"/>
      <c r="AG547" s="208"/>
      <c r="AH547" s="208"/>
      <c r="AI547" s="208"/>
      <c r="AJ547" s="208"/>
      <c r="AK547" s="208"/>
      <c r="AL547" s="208"/>
      <c r="AM547" s="208"/>
    </row>
    <row r="548" spans="1:39" ht="13.8" x14ac:dyDescent="0.25">
      <c r="A548" s="206"/>
      <c r="H548" s="207"/>
      <c r="J548" s="3"/>
      <c r="AG548" s="208"/>
      <c r="AH548" s="208"/>
      <c r="AI548" s="208"/>
      <c r="AJ548" s="208"/>
      <c r="AK548" s="208"/>
      <c r="AL548" s="208"/>
      <c r="AM548" s="208"/>
    </row>
    <row r="549" spans="1:39" ht="13.8" x14ac:dyDescent="0.25">
      <c r="A549" s="206"/>
      <c r="H549" s="207"/>
      <c r="J549" s="3"/>
      <c r="AG549" s="208"/>
      <c r="AH549" s="208"/>
      <c r="AI549" s="208"/>
      <c r="AJ549" s="208"/>
      <c r="AK549" s="208"/>
      <c r="AL549" s="208"/>
      <c r="AM549" s="208"/>
    </row>
    <row r="550" spans="1:39" ht="13.8" x14ac:dyDescent="0.25">
      <c r="A550" s="206"/>
      <c r="H550" s="207"/>
      <c r="J550" s="3"/>
      <c r="AG550" s="208"/>
      <c r="AH550" s="208"/>
      <c r="AI550" s="208"/>
      <c r="AJ550" s="208"/>
      <c r="AK550" s="208"/>
      <c r="AL550" s="208"/>
      <c r="AM550" s="208"/>
    </row>
    <row r="551" spans="1:39" ht="13.8" x14ac:dyDescent="0.25">
      <c r="A551" s="206"/>
      <c r="H551" s="207"/>
      <c r="J551" s="3"/>
      <c r="AG551" s="208"/>
      <c r="AH551" s="208"/>
      <c r="AI551" s="208"/>
      <c r="AJ551" s="208"/>
      <c r="AK551" s="208"/>
      <c r="AL551" s="208"/>
      <c r="AM551" s="208"/>
    </row>
    <row r="552" spans="1:39" ht="13.8" x14ac:dyDescent="0.25">
      <c r="A552" s="206"/>
      <c r="H552" s="207"/>
      <c r="J552" s="3"/>
      <c r="AG552" s="208"/>
      <c r="AH552" s="208"/>
      <c r="AI552" s="208"/>
      <c r="AJ552" s="208"/>
      <c r="AK552" s="208"/>
      <c r="AL552" s="208"/>
      <c r="AM552" s="208"/>
    </row>
    <row r="553" spans="1:39" ht="13.8" x14ac:dyDescent="0.25">
      <c r="A553" s="206"/>
      <c r="H553" s="207"/>
      <c r="J553" s="3"/>
      <c r="AG553" s="208"/>
      <c r="AH553" s="208"/>
      <c r="AI553" s="208"/>
      <c r="AJ553" s="208"/>
      <c r="AK553" s="208"/>
      <c r="AL553" s="208"/>
      <c r="AM553" s="208"/>
    </row>
    <row r="554" spans="1:39" ht="13.8" x14ac:dyDescent="0.25">
      <c r="A554" s="206"/>
      <c r="H554" s="207"/>
      <c r="J554" s="3"/>
      <c r="AG554" s="208"/>
      <c r="AH554" s="208"/>
      <c r="AI554" s="208"/>
      <c r="AJ554" s="208"/>
      <c r="AK554" s="208"/>
      <c r="AL554" s="208"/>
      <c r="AM554" s="208"/>
    </row>
    <row r="555" spans="1:39" ht="13.8" x14ac:dyDescent="0.25">
      <c r="A555" s="206"/>
      <c r="H555" s="207"/>
      <c r="J555" s="3"/>
      <c r="AG555" s="208"/>
      <c r="AH555" s="208"/>
      <c r="AI555" s="208"/>
      <c r="AJ555" s="208"/>
      <c r="AK555" s="208"/>
      <c r="AL555" s="208"/>
      <c r="AM555" s="208"/>
    </row>
    <row r="556" spans="1:39" ht="13.8" x14ac:dyDescent="0.25">
      <c r="A556" s="206"/>
      <c r="H556" s="207"/>
      <c r="J556" s="3"/>
      <c r="AG556" s="208"/>
      <c r="AH556" s="208"/>
      <c r="AI556" s="208"/>
      <c r="AJ556" s="208"/>
      <c r="AK556" s="208"/>
      <c r="AL556" s="208"/>
      <c r="AM556" s="208"/>
    </row>
    <row r="557" spans="1:39" ht="13.8" x14ac:dyDescent="0.25">
      <c r="A557" s="206"/>
      <c r="H557" s="207"/>
      <c r="J557" s="3"/>
      <c r="AG557" s="208"/>
      <c r="AH557" s="208"/>
      <c r="AI557" s="208"/>
      <c r="AJ557" s="208"/>
      <c r="AK557" s="208"/>
      <c r="AL557" s="208"/>
      <c r="AM557" s="208"/>
    </row>
    <row r="558" spans="1:39" ht="13.8" x14ac:dyDescent="0.25">
      <c r="A558" s="206"/>
      <c r="H558" s="207"/>
      <c r="J558" s="3"/>
      <c r="AG558" s="208"/>
      <c r="AH558" s="208"/>
      <c r="AI558" s="208"/>
      <c r="AJ558" s="208"/>
      <c r="AK558" s="208"/>
      <c r="AL558" s="208"/>
      <c r="AM558" s="208"/>
    </row>
    <row r="559" spans="1:39" ht="13.8" x14ac:dyDescent="0.25">
      <c r="A559" s="206"/>
      <c r="H559" s="207"/>
      <c r="J559" s="3"/>
      <c r="AG559" s="208"/>
      <c r="AH559" s="208"/>
      <c r="AI559" s="208"/>
      <c r="AJ559" s="208"/>
      <c r="AK559" s="208"/>
      <c r="AL559" s="208"/>
      <c r="AM559" s="208"/>
    </row>
    <row r="560" spans="1:39" ht="13.8" x14ac:dyDescent="0.25">
      <c r="A560" s="206"/>
      <c r="H560" s="207"/>
      <c r="J560" s="3"/>
      <c r="AG560" s="208"/>
      <c r="AH560" s="208"/>
      <c r="AI560" s="208"/>
      <c r="AJ560" s="208"/>
      <c r="AK560" s="208"/>
      <c r="AL560" s="208"/>
      <c r="AM560" s="208"/>
    </row>
    <row r="561" spans="1:39" ht="13.8" x14ac:dyDescent="0.25">
      <c r="A561" s="206"/>
      <c r="H561" s="207"/>
      <c r="J561" s="3"/>
      <c r="AG561" s="208"/>
      <c r="AH561" s="208"/>
      <c r="AI561" s="208"/>
      <c r="AJ561" s="208"/>
      <c r="AK561" s="208"/>
      <c r="AL561" s="208"/>
      <c r="AM561" s="208"/>
    </row>
    <row r="562" spans="1:39" ht="13.8" x14ac:dyDescent="0.25">
      <c r="A562" s="206"/>
      <c r="H562" s="207"/>
      <c r="J562" s="3"/>
      <c r="AG562" s="208"/>
      <c r="AH562" s="208"/>
      <c r="AI562" s="208"/>
      <c r="AJ562" s="208"/>
      <c r="AK562" s="208"/>
      <c r="AL562" s="208"/>
      <c r="AM562" s="208"/>
    </row>
    <row r="563" spans="1:39" ht="13.8" x14ac:dyDescent="0.25">
      <c r="A563" s="206"/>
      <c r="H563" s="207"/>
      <c r="J563" s="3"/>
      <c r="AG563" s="208"/>
      <c r="AH563" s="208"/>
      <c r="AI563" s="208"/>
      <c r="AJ563" s="208"/>
      <c r="AK563" s="208"/>
      <c r="AL563" s="208"/>
      <c r="AM563" s="208"/>
    </row>
    <row r="564" spans="1:39" ht="13.8" x14ac:dyDescent="0.25">
      <c r="A564" s="206"/>
      <c r="H564" s="207"/>
      <c r="J564" s="3"/>
      <c r="AG564" s="208"/>
      <c r="AH564" s="208"/>
      <c r="AI564" s="208"/>
      <c r="AJ564" s="208"/>
      <c r="AK564" s="208"/>
      <c r="AL564" s="208"/>
      <c r="AM564" s="208"/>
    </row>
    <row r="565" spans="1:39" ht="13.8" x14ac:dyDescent="0.25">
      <c r="A565" s="206"/>
      <c r="H565" s="207"/>
      <c r="J565" s="3"/>
      <c r="AG565" s="208"/>
      <c r="AH565" s="208"/>
      <c r="AI565" s="208"/>
      <c r="AJ565" s="208"/>
      <c r="AK565" s="208"/>
      <c r="AL565" s="208"/>
      <c r="AM565" s="208"/>
    </row>
    <row r="566" spans="1:39" ht="13.8" x14ac:dyDescent="0.25">
      <c r="A566" s="206"/>
      <c r="H566" s="207"/>
      <c r="J566" s="3"/>
      <c r="AG566" s="208"/>
      <c r="AH566" s="208"/>
      <c r="AI566" s="208"/>
      <c r="AJ566" s="208"/>
      <c r="AK566" s="208"/>
      <c r="AL566" s="208"/>
      <c r="AM566" s="208"/>
    </row>
    <row r="567" spans="1:39" ht="13.8" x14ac:dyDescent="0.25">
      <c r="A567" s="206"/>
      <c r="H567" s="207"/>
      <c r="J567" s="3"/>
      <c r="AG567" s="208"/>
      <c r="AH567" s="208"/>
      <c r="AI567" s="208"/>
      <c r="AJ567" s="208"/>
      <c r="AK567" s="208"/>
      <c r="AL567" s="208"/>
      <c r="AM567" s="208"/>
    </row>
    <row r="568" spans="1:39" ht="13.8" x14ac:dyDescent="0.25">
      <c r="A568" s="206"/>
      <c r="H568" s="207"/>
      <c r="J568" s="3"/>
      <c r="AG568" s="208"/>
      <c r="AH568" s="208"/>
      <c r="AI568" s="208"/>
      <c r="AJ568" s="208"/>
      <c r="AK568" s="208"/>
      <c r="AL568" s="208"/>
      <c r="AM568" s="208"/>
    </row>
    <row r="569" spans="1:39" ht="13.8" x14ac:dyDescent="0.25">
      <c r="A569" s="206"/>
      <c r="H569" s="207"/>
      <c r="J569" s="3"/>
      <c r="AG569" s="208"/>
      <c r="AH569" s="208"/>
      <c r="AI569" s="208"/>
      <c r="AJ569" s="208"/>
      <c r="AK569" s="208"/>
      <c r="AL569" s="208"/>
      <c r="AM569" s="208"/>
    </row>
    <row r="570" spans="1:39" ht="13.8" x14ac:dyDescent="0.25">
      <c r="A570" s="206"/>
      <c r="H570" s="207"/>
      <c r="J570" s="3"/>
      <c r="AG570" s="208"/>
      <c r="AH570" s="208"/>
      <c r="AI570" s="208"/>
      <c r="AJ570" s="208"/>
      <c r="AK570" s="208"/>
      <c r="AL570" s="208"/>
      <c r="AM570" s="208"/>
    </row>
    <row r="571" spans="1:39" ht="13.8" x14ac:dyDescent="0.25">
      <c r="A571" s="206"/>
      <c r="H571" s="207"/>
      <c r="J571" s="3"/>
      <c r="AG571" s="208"/>
      <c r="AH571" s="208"/>
      <c r="AI571" s="208"/>
      <c r="AJ571" s="208"/>
      <c r="AK571" s="208"/>
      <c r="AL571" s="208"/>
      <c r="AM571" s="208"/>
    </row>
    <row r="572" spans="1:39" ht="13.8" x14ac:dyDescent="0.25">
      <c r="A572" s="206"/>
      <c r="H572" s="207"/>
      <c r="J572" s="3"/>
      <c r="AG572" s="208"/>
      <c r="AH572" s="208"/>
      <c r="AI572" s="208"/>
      <c r="AJ572" s="208"/>
      <c r="AK572" s="208"/>
      <c r="AL572" s="208"/>
      <c r="AM572" s="208"/>
    </row>
    <row r="573" spans="1:39" ht="13.8" x14ac:dyDescent="0.25">
      <c r="A573" s="206"/>
      <c r="H573" s="207"/>
      <c r="J573" s="3"/>
      <c r="AG573" s="208"/>
      <c r="AH573" s="208"/>
      <c r="AI573" s="208"/>
      <c r="AJ573" s="208"/>
      <c r="AK573" s="208"/>
      <c r="AL573" s="208"/>
      <c r="AM573" s="208"/>
    </row>
    <row r="574" spans="1:39" ht="13.8" x14ac:dyDescent="0.25">
      <c r="A574" s="206"/>
      <c r="H574" s="207"/>
      <c r="J574" s="3"/>
      <c r="AG574" s="208"/>
      <c r="AH574" s="208"/>
      <c r="AI574" s="208"/>
      <c r="AJ574" s="208"/>
      <c r="AK574" s="208"/>
      <c r="AL574" s="208"/>
      <c r="AM574" s="208"/>
    </row>
    <row r="575" spans="1:39" ht="13.8" x14ac:dyDescent="0.25">
      <c r="A575" s="206"/>
      <c r="H575" s="207"/>
      <c r="J575" s="3"/>
      <c r="AG575" s="208"/>
      <c r="AH575" s="208"/>
      <c r="AI575" s="208"/>
      <c r="AJ575" s="208"/>
      <c r="AK575" s="208"/>
      <c r="AL575" s="208"/>
      <c r="AM575" s="208"/>
    </row>
    <row r="576" spans="1:39" ht="13.8" x14ac:dyDescent="0.25">
      <c r="A576" s="206"/>
      <c r="H576" s="207"/>
      <c r="J576" s="3"/>
      <c r="AG576" s="208"/>
      <c r="AH576" s="208"/>
      <c r="AI576" s="208"/>
      <c r="AJ576" s="208"/>
      <c r="AK576" s="208"/>
      <c r="AL576" s="208"/>
      <c r="AM576" s="208"/>
    </row>
    <row r="577" spans="1:39" ht="13.8" x14ac:dyDescent="0.25">
      <c r="A577" s="206"/>
      <c r="H577" s="207"/>
      <c r="J577" s="3"/>
      <c r="AG577" s="208"/>
      <c r="AH577" s="208"/>
      <c r="AI577" s="208"/>
      <c r="AJ577" s="208"/>
      <c r="AK577" s="208"/>
      <c r="AL577" s="208"/>
      <c r="AM577" s="208"/>
    </row>
    <row r="578" spans="1:39" ht="13.8" x14ac:dyDescent="0.25">
      <c r="A578" s="206"/>
      <c r="H578" s="207"/>
      <c r="J578" s="3"/>
      <c r="AG578" s="208"/>
      <c r="AH578" s="208"/>
      <c r="AI578" s="208"/>
      <c r="AJ578" s="208"/>
      <c r="AK578" s="208"/>
      <c r="AL578" s="208"/>
      <c r="AM578" s="208"/>
    </row>
    <row r="579" spans="1:39" ht="13.8" x14ac:dyDescent="0.25">
      <c r="A579" s="206"/>
      <c r="H579" s="207"/>
      <c r="J579" s="3"/>
      <c r="AG579" s="208"/>
      <c r="AH579" s="208"/>
      <c r="AI579" s="208"/>
      <c r="AJ579" s="208"/>
      <c r="AK579" s="208"/>
      <c r="AL579" s="208"/>
      <c r="AM579" s="208"/>
    </row>
    <row r="580" spans="1:39" ht="13.8" x14ac:dyDescent="0.25">
      <c r="A580" s="206"/>
      <c r="H580" s="207"/>
      <c r="J580" s="3"/>
      <c r="AG580" s="208"/>
      <c r="AH580" s="208"/>
      <c r="AI580" s="208"/>
      <c r="AJ580" s="208"/>
      <c r="AK580" s="208"/>
      <c r="AL580" s="208"/>
      <c r="AM580" s="208"/>
    </row>
    <row r="581" spans="1:39" ht="13.8" x14ac:dyDescent="0.25">
      <c r="A581" s="206"/>
      <c r="H581" s="207"/>
      <c r="J581" s="3"/>
      <c r="AG581" s="208"/>
      <c r="AH581" s="208"/>
      <c r="AI581" s="208"/>
      <c r="AJ581" s="208"/>
      <c r="AK581" s="208"/>
      <c r="AL581" s="208"/>
      <c r="AM581" s="208"/>
    </row>
    <row r="582" spans="1:39" ht="13.8" x14ac:dyDescent="0.25">
      <c r="A582" s="206"/>
      <c r="H582" s="207"/>
      <c r="J582" s="3"/>
      <c r="AG582" s="208"/>
      <c r="AH582" s="208"/>
      <c r="AI582" s="208"/>
      <c r="AJ582" s="208"/>
      <c r="AK582" s="208"/>
      <c r="AL582" s="208"/>
      <c r="AM582" s="208"/>
    </row>
    <row r="583" spans="1:39" ht="13.8" x14ac:dyDescent="0.25">
      <c r="A583" s="206"/>
      <c r="H583" s="207"/>
      <c r="J583" s="3"/>
      <c r="AG583" s="208"/>
      <c r="AH583" s="208"/>
      <c r="AI583" s="208"/>
      <c r="AJ583" s="208"/>
      <c r="AK583" s="208"/>
      <c r="AL583" s="208"/>
      <c r="AM583" s="208"/>
    </row>
    <row r="584" spans="1:39" ht="13.8" x14ac:dyDescent="0.25">
      <c r="A584" s="206"/>
      <c r="H584" s="207"/>
      <c r="J584" s="3"/>
      <c r="AG584" s="208"/>
      <c r="AH584" s="208"/>
      <c r="AI584" s="208"/>
      <c r="AJ584" s="208"/>
      <c r="AK584" s="208"/>
      <c r="AL584" s="208"/>
      <c r="AM584" s="208"/>
    </row>
    <row r="585" spans="1:39" ht="13.8" x14ac:dyDescent="0.25">
      <c r="A585" s="206"/>
      <c r="H585" s="207"/>
      <c r="J585" s="3"/>
      <c r="AG585" s="208"/>
      <c r="AH585" s="208"/>
      <c r="AI585" s="208"/>
      <c r="AJ585" s="208"/>
      <c r="AK585" s="208"/>
      <c r="AL585" s="208"/>
      <c r="AM585" s="208"/>
    </row>
    <row r="586" spans="1:39" ht="13.8" x14ac:dyDescent="0.25">
      <c r="A586" s="206"/>
      <c r="H586" s="207"/>
      <c r="J586" s="3"/>
      <c r="AG586" s="208"/>
      <c r="AH586" s="208"/>
      <c r="AI586" s="208"/>
      <c r="AJ586" s="208"/>
      <c r="AK586" s="208"/>
      <c r="AL586" s="208"/>
      <c r="AM586" s="208"/>
    </row>
    <row r="587" spans="1:39" ht="13.8" x14ac:dyDescent="0.25">
      <c r="A587" s="206"/>
      <c r="H587" s="207"/>
      <c r="J587" s="3"/>
      <c r="AG587" s="208"/>
      <c r="AH587" s="208"/>
      <c r="AI587" s="208"/>
      <c r="AJ587" s="208"/>
      <c r="AK587" s="208"/>
      <c r="AL587" s="208"/>
      <c r="AM587" s="208"/>
    </row>
    <row r="588" spans="1:39" ht="13.8" x14ac:dyDescent="0.25">
      <c r="A588" s="206"/>
      <c r="H588" s="207"/>
      <c r="J588" s="3"/>
      <c r="AG588" s="208"/>
      <c r="AH588" s="208"/>
      <c r="AI588" s="208"/>
      <c r="AJ588" s="208"/>
      <c r="AK588" s="208"/>
      <c r="AL588" s="208"/>
      <c r="AM588" s="208"/>
    </row>
    <row r="589" spans="1:39" ht="13.8" x14ac:dyDescent="0.25">
      <c r="A589" s="206"/>
      <c r="H589" s="207"/>
      <c r="J589" s="3"/>
      <c r="AG589" s="208"/>
      <c r="AH589" s="208"/>
      <c r="AI589" s="208"/>
      <c r="AJ589" s="208"/>
      <c r="AK589" s="208"/>
      <c r="AL589" s="208"/>
      <c r="AM589" s="208"/>
    </row>
    <row r="590" spans="1:39" ht="13.8" x14ac:dyDescent="0.25">
      <c r="A590" s="206"/>
      <c r="H590" s="207"/>
      <c r="J590" s="3"/>
      <c r="AG590" s="208"/>
      <c r="AH590" s="208"/>
      <c r="AI590" s="208"/>
      <c r="AJ590" s="208"/>
      <c r="AK590" s="208"/>
      <c r="AL590" s="208"/>
      <c r="AM590" s="208"/>
    </row>
    <row r="591" spans="1:39" ht="13.8" x14ac:dyDescent="0.25">
      <c r="A591" s="206"/>
      <c r="H591" s="207"/>
      <c r="J591" s="3"/>
      <c r="AG591" s="208"/>
      <c r="AH591" s="208"/>
      <c r="AI591" s="208"/>
      <c r="AJ591" s="208"/>
      <c r="AK591" s="208"/>
      <c r="AL591" s="208"/>
      <c r="AM591" s="208"/>
    </row>
    <row r="592" spans="1:39" ht="13.8" x14ac:dyDescent="0.25">
      <c r="A592" s="206"/>
      <c r="H592" s="207"/>
      <c r="J592" s="3"/>
      <c r="AG592" s="208"/>
      <c r="AH592" s="208"/>
      <c r="AI592" s="208"/>
      <c r="AJ592" s="208"/>
      <c r="AK592" s="208"/>
      <c r="AL592" s="208"/>
      <c r="AM592" s="208"/>
    </row>
    <row r="593" spans="1:39" ht="13.8" x14ac:dyDescent="0.25">
      <c r="A593" s="206"/>
      <c r="H593" s="207"/>
      <c r="J593" s="3"/>
      <c r="AG593" s="208"/>
      <c r="AH593" s="208"/>
      <c r="AI593" s="208"/>
      <c r="AJ593" s="208"/>
      <c r="AK593" s="208"/>
      <c r="AL593" s="208"/>
      <c r="AM593" s="208"/>
    </row>
    <row r="594" spans="1:39" ht="13.8" x14ac:dyDescent="0.25">
      <c r="A594" s="206"/>
      <c r="H594" s="207"/>
      <c r="J594" s="3"/>
      <c r="AG594" s="208"/>
      <c r="AH594" s="208"/>
      <c r="AI594" s="208"/>
      <c r="AJ594" s="208"/>
      <c r="AK594" s="208"/>
      <c r="AL594" s="208"/>
      <c r="AM594" s="208"/>
    </row>
    <row r="595" spans="1:39" ht="13.8" x14ac:dyDescent="0.25">
      <c r="A595" s="206"/>
      <c r="H595" s="207"/>
      <c r="J595" s="3"/>
      <c r="AG595" s="208"/>
      <c r="AH595" s="208"/>
      <c r="AI595" s="208"/>
      <c r="AJ595" s="208"/>
      <c r="AK595" s="208"/>
      <c r="AL595" s="208"/>
      <c r="AM595" s="208"/>
    </row>
    <row r="596" spans="1:39" ht="13.8" x14ac:dyDescent="0.25">
      <c r="A596" s="206"/>
      <c r="H596" s="207"/>
      <c r="J596" s="3"/>
      <c r="AG596" s="208"/>
      <c r="AH596" s="208"/>
      <c r="AI596" s="208"/>
      <c r="AJ596" s="208"/>
      <c r="AK596" s="208"/>
      <c r="AL596" s="208"/>
      <c r="AM596" s="208"/>
    </row>
    <row r="597" spans="1:39" ht="13.8" x14ac:dyDescent="0.25">
      <c r="A597" s="206"/>
      <c r="H597" s="207"/>
      <c r="J597" s="3"/>
      <c r="AG597" s="208"/>
      <c r="AH597" s="208"/>
      <c r="AI597" s="208"/>
      <c r="AJ597" s="208"/>
      <c r="AK597" s="208"/>
      <c r="AL597" s="208"/>
      <c r="AM597" s="208"/>
    </row>
    <row r="598" spans="1:39" ht="13.8" x14ac:dyDescent="0.25">
      <c r="A598" s="206"/>
      <c r="H598" s="207"/>
      <c r="J598" s="3"/>
      <c r="AG598" s="208"/>
      <c r="AH598" s="208"/>
      <c r="AI598" s="208"/>
      <c r="AJ598" s="208"/>
      <c r="AK598" s="208"/>
      <c r="AL598" s="208"/>
      <c r="AM598" s="208"/>
    </row>
    <row r="599" spans="1:39" ht="13.8" x14ac:dyDescent="0.25">
      <c r="A599" s="206"/>
      <c r="H599" s="207"/>
      <c r="J599" s="3"/>
      <c r="AG599" s="208"/>
      <c r="AH599" s="208"/>
      <c r="AI599" s="208"/>
      <c r="AJ599" s="208"/>
      <c r="AK599" s="208"/>
      <c r="AL599" s="208"/>
      <c r="AM599" s="208"/>
    </row>
    <row r="600" spans="1:39" ht="13.8" x14ac:dyDescent="0.25">
      <c r="A600" s="206"/>
      <c r="H600" s="207"/>
      <c r="J600" s="3"/>
      <c r="AG600" s="208"/>
      <c r="AH600" s="208"/>
      <c r="AI600" s="208"/>
      <c r="AJ600" s="208"/>
      <c r="AK600" s="208"/>
      <c r="AL600" s="208"/>
      <c r="AM600" s="208"/>
    </row>
    <row r="601" spans="1:39" ht="13.8" x14ac:dyDescent="0.25">
      <c r="A601" s="206"/>
      <c r="H601" s="207"/>
      <c r="J601" s="3"/>
      <c r="AG601" s="208"/>
      <c r="AH601" s="208"/>
      <c r="AI601" s="208"/>
      <c r="AJ601" s="208"/>
      <c r="AK601" s="208"/>
      <c r="AL601" s="208"/>
      <c r="AM601" s="208"/>
    </row>
    <row r="602" spans="1:39" ht="13.8" x14ac:dyDescent="0.25">
      <c r="A602" s="206"/>
      <c r="H602" s="207"/>
      <c r="J602" s="3"/>
      <c r="AG602" s="208"/>
      <c r="AH602" s="208"/>
      <c r="AI602" s="208"/>
      <c r="AJ602" s="208"/>
      <c r="AK602" s="208"/>
      <c r="AL602" s="208"/>
      <c r="AM602" s="208"/>
    </row>
    <row r="603" spans="1:39" ht="13.8" x14ac:dyDescent="0.25">
      <c r="A603" s="206"/>
      <c r="H603" s="207"/>
      <c r="J603" s="3"/>
      <c r="AG603" s="208"/>
      <c r="AH603" s="208"/>
      <c r="AI603" s="208"/>
      <c r="AJ603" s="208"/>
      <c r="AK603" s="208"/>
      <c r="AL603" s="208"/>
      <c r="AM603" s="208"/>
    </row>
    <row r="604" spans="1:39" ht="13.8" x14ac:dyDescent="0.25">
      <c r="A604" s="206"/>
      <c r="H604" s="207"/>
      <c r="J604" s="3"/>
      <c r="AG604" s="208"/>
      <c r="AH604" s="208"/>
      <c r="AI604" s="208"/>
      <c r="AJ604" s="208"/>
      <c r="AK604" s="208"/>
      <c r="AL604" s="208"/>
      <c r="AM604" s="208"/>
    </row>
    <row r="605" spans="1:39" ht="13.8" x14ac:dyDescent="0.25">
      <c r="A605" s="206"/>
      <c r="H605" s="207"/>
      <c r="J605" s="3"/>
      <c r="AG605" s="208"/>
      <c r="AH605" s="208"/>
      <c r="AI605" s="208"/>
      <c r="AJ605" s="208"/>
      <c r="AK605" s="208"/>
      <c r="AL605" s="208"/>
      <c r="AM605" s="208"/>
    </row>
    <row r="606" spans="1:39" ht="13.8" x14ac:dyDescent="0.25">
      <c r="A606" s="206"/>
      <c r="H606" s="207"/>
      <c r="J606" s="3"/>
      <c r="AG606" s="208"/>
      <c r="AH606" s="208"/>
      <c r="AI606" s="208"/>
      <c r="AJ606" s="208"/>
      <c r="AK606" s="208"/>
      <c r="AL606" s="208"/>
      <c r="AM606" s="208"/>
    </row>
    <row r="607" spans="1:39" ht="13.8" x14ac:dyDescent="0.25">
      <c r="A607" s="206"/>
      <c r="H607" s="207"/>
      <c r="J607" s="3"/>
      <c r="AG607" s="208"/>
      <c r="AH607" s="208"/>
      <c r="AI607" s="208"/>
      <c r="AJ607" s="208"/>
      <c r="AK607" s="208"/>
      <c r="AL607" s="208"/>
      <c r="AM607" s="208"/>
    </row>
    <row r="608" spans="1:39" ht="13.8" x14ac:dyDescent="0.25">
      <c r="A608" s="206"/>
      <c r="H608" s="207"/>
      <c r="J608" s="3"/>
      <c r="AG608" s="208"/>
      <c r="AH608" s="208"/>
      <c r="AI608" s="208"/>
      <c r="AJ608" s="208"/>
      <c r="AK608" s="208"/>
      <c r="AL608" s="208"/>
      <c r="AM608" s="208"/>
    </row>
    <row r="609" spans="1:39" ht="13.8" x14ac:dyDescent="0.25">
      <c r="A609" s="206"/>
      <c r="H609" s="207"/>
      <c r="J609" s="3"/>
      <c r="AG609" s="208"/>
      <c r="AH609" s="208"/>
      <c r="AI609" s="208"/>
      <c r="AJ609" s="208"/>
      <c r="AK609" s="208"/>
      <c r="AL609" s="208"/>
      <c r="AM609" s="208"/>
    </row>
    <row r="610" spans="1:39" ht="13.8" x14ac:dyDescent="0.25">
      <c r="A610" s="206"/>
      <c r="H610" s="207"/>
      <c r="J610" s="3"/>
      <c r="AG610" s="208"/>
      <c r="AH610" s="208"/>
      <c r="AI610" s="208"/>
      <c r="AJ610" s="208"/>
      <c r="AK610" s="208"/>
      <c r="AL610" s="208"/>
      <c r="AM610" s="208"/>
    </row>
    <row r="611" spans="1:39" ht="13.8" x14ac:dyDescent="0.25">
      <c r="A611" s="206"/>
      <c r="H611" s="207"/>
      <c r="J611" s="3"/>
      <c r="AG611" s="208"/>
      <c r="AH611" s="208"/>
      <c r="AI611" s="208"/>
      <c r="AJ611" s="208"/>
      <c r="AK611" s="208"/>
      <c r="AL611" s="208"/>
      <c r="AM611" s="208"/>
    </row>
    <row r="612" spans="1:39" ht="13.8" x14ac:dyDescent="0.25">
      <c r="A612" s="206"/>
      <c r="H612" s="207"/>
      <c r="J612" s="3"/>
      <c r="AG612" s="208"/>
      <c r="AH612" s="208"/>
      <c r="AI612" s="208"/>
      <c r="AJ612" s="208"/>
      <c r="AK612" s="208"/>
      <c r="AL612" s="208"/>
      <c r="AM612" s="208"/>
    </row>
    <row r="613" spans="1:39" ht="13.8" x14ac:dyDescent="0.25">
      <c r="A613" s="206"/>
      <c r="H613" s="207"/>
      <c r="J613" s="3"/>
      <c r="AG613" s="208"/>
      <c r="AH613" s="208"/>
      <c r="AI613" s="208"/>
      <c r="AJ613" s="208"/>
      <c r="AK613" s="208"/>
      <c r="AL613" s="208"/>
      <c r="AM613" s="208"/>
    </row>
    <row r="614" spans="1:39" ht="13.8" x14ac:dyDescent="0.25">
      <c r="A614" s="206"/>
      <c r="H614" s="207"/>
      <c r="J614" s="3"/>
      <c r="AG614" s="208"/>
      <c r="AH614" s="208"/>
      <c r="AI614" s="208"/>
      <c r="AJ614" s="208"/>
      <c r="AK614" s="208"/>
      <c r="AL614" s="208"/>
      <c r="AM614" s="208"/>
    </row>
    <row r="615" spans="1:39" ht="13.8" x14ac:dyDescent="0.25">
      <c r="A615" s="206"/>
      <c r="H615" s="207"/>
      <c r="J615" s="3"/>
      <c r="AG615" s="208"/>
      <c r="AH615" s="208"/>
      <c r="AI615" s="208"/>
      <c r="AJ615" s="208"/>
      <c r="AK615" s="208"/>
      <c r="AL615" s="208"/>
      <c r="AM615" s="208"/>
    </row>
    <row r="616" spans="1:39" ht="13.8" x14ac:dyDescent="0.25">
      <c r="A616" s="206"/>
      <c r="H616" s="207"/>
      <c r="J616" s="3"/>
      <c r="AG616" s="208"/>
      <c r="AH616" s="208"/>
      <c r="AI616" s="208"/>
      <c r="AJ616" s="208"/>
      <c r="AK616" s="208"/>
      <c r="AL616" s="208"/>
      <c r="AM616" s="208"/>
    </row>
    <row r="617" spans="1:39" ht="13.8" x14ac:dyDescent="0.25">
      <c r="A617" s="206"/>
      <c r="H617" s="207"/>
      <c r="J617" s="3"/>
      <c r="AG617" s="208"/>
      <c r="AH617" s="208"/>
      <c r="AI617" s="208"/>
      <c r="AJ617" s="208"/>
      <c r="AK617" s="208"/>
      <c r="AL617" s="208"/>
      <c r="AM617" s="208"/>
    </row>
    <row r="618" spans="1:39" ht="13.8" x14ac:dyDescent="0.25">
      <c r="A618" s="206"/>
      <c r="H618" s="207"/>
      <c r="J618" s="3"/>
      <c r="AG618" s="208"/>
      <c r="AH618" s="208"/>
      <c r="AI618" s="208"/>
      <c r="AJ618" s="208"/>
      <c r="AK618" s="208"/>
      <c r="AL618" s="208"/>
      <c r="AM618" s="208"/>
    </row>
    <row r="619" spans="1:39" ht="13.8" x14ac:dyDescent="0.25">
      <c r="A619" s="206"/>
      <c r="H619" s="207"/>
      <c r="J619" s="3"/>
      <c r="AG619" s="208"/>
      <c r="AH619" s="208"/>
      <c r="AI619" s="208"/>
      <c r="AJ619" s="208"/>
      <c r="AK619" s="208"/>
      <c r="AL619" s="208"/>
      <c r="AM619" s="208"/>
    </row>
    <row r="620" spans="1:39" ht="13.8" x14ac:dyDescent="0.25">
      <c r="A620" s="206"/>
      <c r="H620" s="207"/>
      <c r="J620" s="3"/>
      <c r="AG620" s="208"/>
      <c r="AH620" s="208"/>
      <c r="AI620" s="208"/>
      <c r="AJ620" s="208"/>
      <c r="AK620" s="208"/>
      <c r="AL620" s="208"/>
      <c r="AM620" s="208"/>
    </row>
    <row r="621" spans="1:39" ht="13.8" x14ac:dyDescent="0.25">
      <c r="A621" s="206"/>
      <c r="H621" s="207"/>
      <c r="J621" s="3"/>
      <c r="AG621" s="208"/>
      <c r="AH621" s="208"/>
      <c r="AI621" s="208"/>
      <c r="AJ621" s="208"/>
      <c r="AK621" s="208"/>
      <c r="AL621" s="208"/>
      <c r="AM621" s="208"/>
    </row>
    <row r="622" spans="1:39" ht="13.8" x14ac:dyDescent="0.25">
      <c r="A622" s="206"/>
      <c r="H622" s="207"/>
      <c r="J622" s="3"/>
      <c r="AG622" s="208"/>
      <c r="AH622" s="208"/>
      <c r="AI622" s="208"/>
      <c r="AJ622" s="208"/>
      <c r="AK622" s="208"/>
      <c r="AL622" s="208"/>
      <c r="AM622" s="208"/>
    </row>
    <row r="623" spans="1:39" ht="13.8" x14ac:dyDescent="0.25">
      <c r="A623" s="206"/>
      <c r="H623" s="207"/>
      <c r="J623" s="3"/>
      <c r="AG623" s="208"/>
      <c r="AH623" s="208"/>
      <c r="AI623" s="208"/>
      <c r="AJ623" s="208"/>
      <c r="AK623" s="208"/>
      <c r="AL623" s="208"/>
      <c r="AM623" s="208"/>
    </row>
    <row r="624" spans="1:39" ht="13.8" x14ac:dyDescent="0.25">
      <c r="A624" s="206"/>
      <c r="H624" s="207"/>
      <c r="J624" s="3"/>
      <c r="AG624" s="208"/>
      <c r="AH624" s="208"/>
      <c r="AI624" s="208"/>
      <c r="AJ624" s="208"/>
      <c r="AK624" s="208"/>
      <c r="AL624" s="208"/>
      <c r="AM624" s="208"/>
    </row>
    <row r="625" spans="1:39" ht="13.8" x14ac:dyDescent="0.25">
      <c r="A625" s="206"/>
      <c r="H625" s="207"/>
      <c r="J625" s="3"/>
      <c r="AG625" s="208"/>
      <c r="AH625" s="208"/>
      <c r="AI625" s="208"/>
      <c r="AJ625" s="208"/>
      <c r="AK625" s="208"/>
      <c r="AL625" s="208"/>
      <c r="AM625" s="208"/>
    </row>
    <row r="626" spans="1:39" ht="13.8" x14ac:dyDescent="0.25">
      <c r="A626" s="206"/>
      <c r="H626" s="207"/>
      <c r="J626" s="3"/>
      <c r="AG626" s="208"/>
      <c r="AH626" s="208"/>
      <c r="AI626" s="208"/>
      <c r="AJ626" s="208"/>
      <c r="AK626" s="208"/>
      <c r="AL626" s="208"/>
      <c r="AM626" s="208"/>
    </row>
    <row r="627" spans="1:39" ht="13.8" x14ac:dyDescent="0.25">
      <c r="A627" s="206"/>
      <c r="H627" s="207"/>
      <c r="J627" s="3"/>
      <c r="AG627" s="208"/>
      <c r="AH627" s="208"/>
      <c r="AI627" s="208"/>
      <c r="AJ627" s="208"/>
      <c r="AK627" s="208"/>
      <c r="AL627" s="208"/>
      <c r="AM627" s="208"/>
    </row>
    <row r="628" spans="1:39" ht="13.8" x14ac:dyDescent="0.25">
      <c r="A628" s="206"/>
      <c r="H628" s="207"/>
      <c r="J628" s="3"/>
      <c r="AG628" s="208"/>
      <c r="AH628" s="208"/>
      <c r="AI628" s="208"/>
      <c r="AJ628" s="208"/>
      <c r="AK628" s="208"/>
      <c r="AL628" s="208"/>
      <c r="AM628" s="208"/>
    </row>
    <row r="629" spans="1:39" ht="13.8" x14ac:dyDescent="0.25">
      <c r="A629" s="206"/>
      <c r="H629" s="207"/>
      <c r="J629" s="3"/>
      <c r="AG629" s="208"/>
      <c r="AH629" s="208"/>
      <c r="AI629" s="208"/>
      <c r="AJ629" s="208"/>
      <c r="AK629" s="208"/>
      <c r="AL629" s="208"/>
      <c r="AM629" s="208"/>
    </row>
    <row r="630" spans="1:39" ht="13.8" x14ac:dyDescent="0.25">
      <c r="A630" s="206"/>
      <c r="H630" s="207"/>
      <c r="J630" s="3"/>
      <c r="AG630" s="208"/>
      <c r="AH630" s="208"/>
      <c r="AI630" s="208"/>
      <c r="AJ630" s="208"/>
      <c r="AK630" s="208"/>
      <c r="AL630" s="208"/>
      <c r="AM630" s="208"/>
    </row>
    <row r="631" spans="1:39" ht="13.8" x14ac:dyDescent="0.25">
      <c r="A631" s="206"/>
      <c r="H631" s="207"/>
      <c r="J631" s="3"/>
      <c r="AG631" s="208"/>
      <c r="AH631" s="208"/>
      <c r="AI631" s="208"/>
      <c r="AJ631" s="208"/>
      <c r="AK631" s="208"/>
      <c r="AL631" s="208"/>
      <c r="AM631" s="208"/>
    </row>
    <row r="632" spans="1:39" ht="13.8" x14ac:dyDescent="0.25">
      <c r="A632" s="206"/>
      <c r="H632" s="207"/>
      <c r="J632" s="3"/>
      <c r="AG632" s="208"/>
      <c r="AH632" s="208"/>
      <c r="AI632" s="208"/>
      <c r="AJ632" s="208"/>
      <c r="AK632" s="208"/>
      <c r="AL632" s="208"/>
      <c r="AM632" s="208"/>
    </row>
    <row r="633" spans="1:39" ht="13.8" x14ac:dyDescent="0.25">
      <c r="A633" s="206"/>
      <c r="H633" s="207"/>
      <c r="J633" s="3"/>
      <c r="AG633" s="208"/>
      <c r="AH633" s="208"/>
      <c r="AI633" s="208"/>
      <c r="AJ633" s="208"/>
      <c r="AK633" s="208"/>
      <c r="AL633" s="208"/>
      <c r="AM633" s="208"/>
    </row>
    <row r="634" spans="1:39" ht="13.8" x14ac:dyDescent="0.25">
      <c r="A634" s="206"/>
      <c r="H634" s="207"/>
      <c r="J634" s="3"/>
      <c r="AG634" s="208"/>
      <c r="AH634" s="208"/>
      <c r="AI634" s="208"/>
      <c r="AJ634" s="208"/>
      <c r="AK634" s="208"/>
      <c r="AL634" s="208"/>
      <c r="AM634" s="208"/>
    </row>
    <row r="635" spans="1:39" ht="13.8" x14ac:dyDescent="0.25">
      <c r="A635" s="206"/>
      <c r="H635" s="207"/>
      <c r="J635" s="3"/>
      <c r="AG635" s="208"/>
      <c r="AH635" s="208"/>
      <c r="AI635" s="208"/>
      <c r="AJ635" s="208"/>
      <c r="AK635" s="208"/>
      <c r="AL635" s="208"/>
      <c r="AM635" s="208"/>
    </row>
    <row r="636" spans="1:39" ht="13.8" x14ac:dyDescent="0.25">
      <c r="A636" s="206"/>
      <c r="H636" s="207"/>
      <c r="J636" s="3"/>
      <c r="AG636" s="208"/>
      <c r="AH636" s="208"/>
      <c r="AI636" s="208"/>
      <c r="AJ636" s="208"/>
      <c r="AK636" s="208"/>
      <c r="AL636" s="208"/>
      <c r="AM636" s="208"/>
    </row>
    <row r="637" spans="1:39" ht="13.8" x14ac:dyDescent="0.25">
      <c r="A637" s="206"/>
      <c r="H637" s="207"/>
      <c r="J637" s="3"/>
      <c r="AG637" s="208"/>
      <c r="AH637" s="208"/>
      <c r="AI637" s="208"/>
      <c r="AJ637" s="208"/>
      <c r="AK637" s="208"/>
      <c r="AL637" s="208"/>
      <c r="AM637" s="208"/>
    </row>
    <row r="638" spans="1:39" ht="13.8" x14ac:dyDescent="0.25">
      <c r="A638" s="206"/>
      <c r="H638" s="207"/>
      <c r="J638" s="3"/>
      <c r="AG638" s="208"/>
      <c r="AH638" s="208"/>
      <c r="AI638" s="208"/>
      <c r="AJ638" s="208"/>
      <c r="AK638" s="208"/>
      <c r="AL638" s="208"/>
      <c r="AM638" s="208"/>
    </row>
    <row r="639" spans="1:39" ht="13.8" x14ac:dyDescent="0.25">
      <c r="A639" s="206"/>
      <c r="H639" s="207"/>
      <c r="J639" s="3"/>
      <c r="AG639" s="208"/>
      <c r="AH639" s="208"/>
      <c r="AI639" s="208"/>
      <c r="AJ639" s="208"/>
      <c r="AK639" s="208"/>
      <c r="AL639" s="208"/>
      <c r="AM639" s="208"/>
    </row>
    <row r="640" spans="1:39" ht="13.8" x14ac:dyDescent="0.25">
      <c r="A640" s="206"/>
      <c r="H640" s="207"/>
      <c r="J640" s="3"/>
      <c r="AG640" s="208"/>
      <c r="AH640" s="208"/>
      <c r="AI640" s="208"/>
      <c r="AJ640" s="208"/>
      <c r="AK640" s="208"/>
      <c r="AL640" s="208"/>
      <c r="AM640" s="208"/>
    </row>
    <row r="641" spans="1:39" ht="13.8" x14ac:dyDescent="0.25">
      <c r="A641" s="206"/>
      <c r="H641" s="207"/>
      <c r="J641" s="3"/>
      <c r="AG641" s="208"/>
      <c r="AH641" s="208"/>
      <c r="AI641" s="208"/>
      <c r="AJ641" s="208"/>
      <c r="AK641" s="208"/>
      <c r="AL641" s="208"/>
      <c r="AM641" s="208"/>
    </row>
    <row r="642" spans="1:39" ht="13.8" x14ac:dyDescent="0.25">
      <c r="A642" s="206"/>
      <c r="H642" s="207"/>
      <c r="J642" s="3"/>
      <c r="AG642" s="208"/>
      <c r="AH642" s="208"/>
      <c r="AI642" s="208"/>
      <c r="AJ642" s="208"/>
      <c r="AK642" s="208"/>
      <c r="AL642" s="208"/>
      <c r="AM642" s="208"/>
    </row>
    <row r="643" spans="1:39" ht="13.8" x14ac:dyDescent="0.25">
      <c r="A643" s="206"/>
      <c r="H643" s="207"/>
      <c r="J643" s="3"/>
      <c r="AG643" s="208"/>
      <c r="AH643" s="208"/>
      <c r="AI643" s="208"/>
      <c r="AJ643" s="208"/>
      <c r="AK643" s="208"/>
      <c r="AL643" s="208"/>
      <c r="AM643" s="208"/>
    </row>
    <row r="644" spans="1:39" ht="13.8" x14ac:dyDescent="0.25">
      <c r="A644" s="206"/>
      <c r="H644" s="207"/>
      <c r="J644" s="3"/>
      <c r="AG644" s="208"/>
      <c r="AH644" s="208"/>
      <c r="AI644" s="208"/>
      <c r="AJ644" s="208"/>
      <c r="AK644" s="208"/>
      <c r="AL644" s="208"/>
      <c r="AM644" s="208"/>
    </row>
    <row r="645" spans="1:39" ht="13.8" x14ac:dyDescent="0.25">
      <c r="A645" s="206"/>
      <c r="H645" s="207"/>
      <c r="J645" s="3"/>
      <c r="AG645" s="208"/>
      <c r="AH645" s="208"/>
      <c r="AI645" s="208"/>
      <c r="AJ645" s="208"/>
      <c r="AK645" s="208"/>
      <c r="AL645" s="208"/>
      <c r="AM645" s="208"/>
    </row>
    <row r="646" spans="1:39" ht="13.8" x14ac:dyDescent="0.25">
      <c r="A646" s="206"/>
      <c r="H646" s="207"/>
      <c r="J646" s="3"/>
      <c r="AG646" s="208"/>
      <c r="AH646" s="208"/>
      <c r="AI646" s="208"/>
      <c r="AJ646" s="208"/>
      <c r="AK646" s="208"/>
      <c r="AL646" s="208"/>
      <c r="AM646" s="208"/>
    </row>
    <row r="647" spans="1:39" ht="13.8" x14ac:dyDescent="0.25">
      <c r="A647" s="206"/>
      <c r="H647" s="207"/>
      <c r="J647" s="3"/>
      <c r="AG647" s="208"/>
      <c r="AH647" s="208"/>
      <c r="AI647" s="208"/>
      <c r="AJ647" s="208"/>
      <c r="AK647" s="208"/>
      <c r="AL647" s="208"/>
      <c r="AM647" s="208"/>
    </row>
    <row r="648" spans="1:39" ht="13.8" x14ac:dyDescent="0.25">
      <c r="A648" s="206"/>
      <c r="H648" s="207"/>
      <c r="J648" s="3"/>
      <c r="AG648" s="208"/>
      <c r="AH648" s="208"/>
      <c r="AI648" s="208"/>
      <c r="AJ648" s="208"/>
      <c r="AK648" s="208"/>
      <c r="AL648" s="208"/>
      <c r="AM648" s="208"/>
    </row>
    <row r="649" spans="1:39" ht="13.8" x14ac:dyDescent="0.25">
      <c r="A649" s="206"/>
      <c r="H649" s="207"/>
      <c r="J649" s="3"/>
      <c r="AG649" s="208"/>
      <c r="AH649" s="208"/>
      <c r="AI649" s="208"/>
      <c r="AJ649" s="208"/>
      <c r="AK649" s="208"/>
      <c r="AL649" s="208"/>
      <c r="AM649" s="208"/>
    </row>
    <row r="650" spans="1:39" ht="13.8" x14ac:dyDescent="0.25">
      <c r="A650" s="206"/>
      <c r="H650" s="207"/>
      <c r="J650" s="3"/>
      <c r="AG650" s="208"/>
      <c r="AH650" s="208"/>
      <c r="AI650" s="208"/>
      <c r="AJ650" s="208"/>
      <c r="AK650" s="208"/>
      <c r="AL650" s="208"/>
      <c r="AM650" s="208"/>
    </row>
    <row r="651" spans="1:39" ht="13.8" x14ac:dyDescent="0.25">
      <c r="A651" s="206"/>
      <c r="H651" s="207"/>
      <c r="J651" s="3"/>
      <c r="AG651" s="208"/>
      <c r="AH651" s="208"/>
      <c r="AI651" s="208"/>
      <c r="AJ651" s="208"/>
      <c r="AK651" s="208"/>
      <c r="AL651" s="208"/>
      <c r="AM651" s="208"/>
    </row>
    <row r="652" spans="1:39" ht="13.8" x14ac:dyDescent="0.25">
      <c r="A652" s="206"/>
      <c r="H652" s="207"/>
      <c r="J652" s="3"/>
      <c r="AG652" s="208"/>
      <c r="AH652" s="208"/>
      <c r="AI652" s="208"/>
      <c r="AJ652" s="208"/>
      <c r="AK652" s="208"/>
      <c r="AL652" s="208"/>
      <c r="AM652" s="208"/>
    </row>
    <row r="653" spans="1:39" ht="13.8" x14ac:dyDescent="0.25">
      <c r="A653" s="206"/>
      <c r="H653" s="207"/>
      <c r="J653" s="3"/>
      <c r="AG653" s="208"/>
      <c r="AH653" s="208"/>
      <c r="AI653" s="208"/>
      <c r="AJ653" s="208"/>
      <c r="AK653" s="208"/>
      <c r="AL653" s="208"/>
      <c r="AM653" s="208"/>
    </row>
    <row r="654" spans="1:39" ht="13.8" x14ac:dyDescent="0.25">
      <c r="A654" s="206"/>
      <c r="H654" s="207"/>
      <c r="J654" s="3"/>
      <c r="AG654" s="208"/>
      <c r="AH654" s="208"/>
      <c r="AI654" s="208"/>
      <c r="AJ654" s="208"/>
      <c r="AK654" s="208"/>
      <c r="AL654" s="208"/>
      <c r="AM654" s="208"/>
    </row>
    <row r="655" spans="1:39" ht="13.8" x14ac:dyDescent="0.25">
      <c r="A655" s="206"/>
      <c r="H655" s="207"/>
      <c r="J655" s="3"/>
      <c r="AG655" s="208"/>
      <c r="AH655" s="208"/>
      <c r="AI655" s="208"/>
      <c r="AJ655" s="208"/>
      <c r="AK655" s="208"/>
      <c r="AL655" s="208"/>
      <c r="AM655" s="208"/>
    </row>
    <row r="656" spans="1:39" ht="13.8" x14ac:dyDescent="0.25">
      <c r="A656" s="206"/>
      <c r="H656" s="207"/>
      <c r="J656" s="3"/>
      <c r="AG656" s="208"/>
      <c r="AH656" s="208"/>
      <c r="AI656" s="208"/>
      <c r="AJ656" s="208"/>
      <c r="AK656" s="208"/>
      <c r="AL656" s="208"/>
      <c r="AM656" s="208"/>
    </row>
    <row r="657" spans="1:39" ht="13.8" x14ac:dyDescent="0.25">
      <c r="A657" s="206"/>
      <c r="H657" s="207"/>
      <c r="J657" s="3"/>
      <c r="AG657" s="208"/>
      <c r="AH657" s="208"/>
      <c r="AI657" s="208"/>
      <c r="AJ657" s="208"/>
      <c r="AK657" s="208"/>
      <c r="AL657" s="208"/>
      <c r="AM657" s="208"/>
    </row>
    <row r="658" spans="1:39" ht="13.8" x14ac:dyDescent="0.25">
      <c r="A658" s="206"/>
      <c r="H658" s="207"/>
      <c r="J658" s="3"/>
      <c r="AG658" s="208"/>
      <c r="AH658" s="208"/>
      <c r="AI658" s="208"/>
      <c r="AJ658" s="208"/>
      <c r="AK658" s="208"/>
      <c r="AL658" s="208"/>
      <c r="AM658" s="208"/>
    </row>
    <row r="659" spans="1:39" ht="13.8" x14ac:dyDescent="0.25">
      <c r="A659" s="206"/>
      <c r="H659" s="207"/>
      <c r="J659" s="3"/>
      <c r="AG659" s="208"/>
      <c r="AH659" s="208"/>
      <c r="AI659" s="208"/>
      <c r="AJ659" s="208"/>
      <c r="AK659" s="208"/>
      <c r="AL659" s="208"/>
      <c r="AM659" s="208"/>
    </row>
    <row r="660" spans="1:39" ht="13.8" x14ac:dyDescent="0.25">
      <c r="A660" s="206"/>
      <c r="H660" s="207"/>
      <c r="J660" s="3"/>
      <c r="AG660" s="208"/>
      <c r="AH660" s="208"/>
      <c r="AI660" s="208"/>
      <c r="AJ660" s="208"/>
      <c r="AK660" s="208"/>
      <c r="AL660" s="208"/>
      <c r="AM660" s="208"/>
    </row>
    <row r="661" spans="1:39" ht="13.8" x14ac:dyDescent="0.25">
      <c r="A661" s="206"/>
      <c r="H661" s="207"/>
      <c r="J661" s="3"/>
      <c r="AG661" s="208"/>
      <c r="AH661" s="208"/>
      <c r="AI661" s="208"/>
      <c r="AJ661" s="208"/>
      <c r="AK661" s="208"/>
      <c r="AL661" s="208"/>
      <c r="AM661" s="208"/>
    </row>
    <row r="662" spans="1:39" ht="13.8" x14ac:dyDescent="0.25">
      <c r="A662" s="206"/>
      <c r="H662" s="207"/>
      <c r="J662" s="3"/>
      <c r="AG662" s="208"/>
      <c r="AH662" s="208"/>
      <c r="AI662" s="208"/>
      <c r="AJ662" s="208"/>
      <c r="AK662" s="208"/>
      <c r="AL662" s="208"/>
      <c r="AM662" s="208"/>
    </row>
    <row r="663" spans="1:39" ht="13.8" x14ac:dyDescent="0.25">
      <c r="A663" s="206"/>
      <c r="H663" s="207"/>
      <c r="J663" s="3"/>
      <c r="AG663" s="208"/>
      <c r="AH663" s="208"/>
      <c r="AI663" s="208"/>
      <c r="AJ663" s="208"/>
      <c r="AK663" s="208"/>
      <c r="AL663" s="208"/>
      <c r="AM663" s="208"/>
    </row>
    <row r="664" spans="1:39" ht="13.8" x14ac:dyDescent="0.25">
      <c r="A664" s="206"/>
      <c r="H664" s="207"/>
      <c r="J664" s="3"/>
      <c r="AG664" s="208"/>
      <c r="AH664" s="208"/>
      <c r="AI664" s="208"/>
      <c r="AJ664" s="208"/>
      <c r="AK664" s="208"/>
      <c r="AL664" s="208"/>
      <c r="AM664" s="208"/>
    </row>
    <row r="665" spans="1:39" ht="13.8" x14ac:dyDescent="0.25">
      <c r="A665" s="206"/>
      <c r="H665" s="207"/>
      <c r="J665" s="3"/>
      <c r="AG665" s="208"/>
      <c r="AH665" s="208"/>
      <c r="AI665" s="208"/>
      <c r="AJ665" s="208"/>
      <c r="AK665" s="208"/>
      <c r="AL665" s="208"/>
      <c r="AM665" s="208"/>
    </row>
    <row r="666" spans="1:39" ht="13.8" x14ac:dyDescent="0.25">
      <c r="A666" s="206"/>
      <c r="H666" s="207"/>
      <c r="J666" s="3"/>
      <c r="AG666" s="208"/>
      <c r="AH666" s="208"/>
      <c r="AI666" s="208"/>
      <c r="AJ666" s="208"/>
      <c r="AK666" s="208"/>
      <c r="AL666" s="208"/>
      <c r="AM666" s="208"/>
    </row>
    <row r="667" spans="1:39" ht="13.8" x14ac:dyDescent="0.25">
      <c r="A667" s="206"/>
      <c r="H667" s="207"/>
      <c r="J667" s="3"/>
      <c r="AG667" s="208"/>
      <c r="AH667" s="208"/>
      <c r="AI667" s="208"/>
      <c r="AJ667" s="208"/>
      <c r="AK667" s="208"/>
      <c r="AL667" s="208"/>
      <c r="AM667" s="208"/>
    </row>
    <row r="668" spans="1:39" ht="13.8" x14ac:dyDescent="0.25">
      <c r="A668" s="206"/>
      <c r="H668" s="207"/>
      <c r="J668" s="3"/>
      <c r="AG668" s="208"/>
      <c r="AH668" s="208"/>
      <c r="AI668" s="208"/>
      <c r="AJ668" s="208"/>
      <c r="AK668" s="208"/>
      <c r="AL668" s="208"/>
      <c r="AM668" s="208"/>
    </row>
    <row r="669" spans="1:39" ht="13.8" x14ac:dyDescent="0.25">
      <c r="A669" s="206"/>
      <c r="H669" s="207"/>
      <c r="J669" s="3"/>
      <c r="AG669" s="208"/>
      <c r="AH669" s="208"/>
      <c r="AI669" s="208"/>
      <c r="AJ669" s="208"/>
      <c r="AK669" s="208"/>
      <c r="AL669" s="208"/>
      <c r="AM669" s="208"/>
    </row>
    <row r="670" spans="1:39" ht="13.8" x14ac:dyDescent="0.25">
      <c r="A670" s="206"/>
      <c r="H670" s="207"/>
      <c r="J670" s="3"/>
      <c r="AG670" s="208"/>
      <c r="AH670" s="208"/>
      <c r="AI670" s="208"/>
      <c r="AJ670" s="208"/>
      <c r="AK670" s="208"/>
      <c r="AL670" s="208"/>
      <c r="AM670" s="208"/>
    </row>
    <row r="671" spans="1:39" ht="13.8" x14ac:dyDescent="0.25">
      <c r="A671" s="206"/>
      <c r="H671" s="207"/>
      <c r="J671" s="3"/>
      <c r="AG671" s="208"/>
      <c r="AH671" s="208"/>
      <c r="AI671" s="208"/>
      <c r="AJ671" s="208"/>
      <c r="AK671" s="208"/>
      <c r="AL671" s="208"/>
      <c r="AM671" s="208"/>
    </row>
    <row r="672" spans="1:39" ht="13.8" x14ac:dyDescent="0.25">
      <c r="A672" s="206"/>
      <c r="H672" s="207"/>
      <c r="J672" s="3"/>
      <c r="AG672" s="208"/>
      <c r="AH672" s="208"/>
      <c r="AI672" s="208"/>
      <c r="AJ672" s="208"/>
      <c r="AK672" s="208"/>
      <c r="AL672" s="208"/>
      <c r="AM672" s="208"/>
    </row>
    <row r="673" spans="1:39" ht="13.8" x14ac:dyDescent="0.25">
      <c r="A673" s="206"/>
      <c r="H673" s="207"/>
      <c r="J673" s="3"/>
      <c r="AG673" s="208"/>
      <c r="AH673" s="208"/>
      <c r="AI673" s="208"/>
      <c r="AJ673" s="208"/>
      <c r="AK673" s="208"/>
      <c r="AL673" s="208"/>
      <c r="AM673" s="208"/>
    </row>
    <row r="674" spans="1:39" ht="13.8" x14ac:dyDescent="0.25">
      <c r="A674" s="206"/>
      <c r="H674" s="207"/>
      <c r="J674" s="3"/>
      <c r="AG674" s="208"/>
      <c r="AH674" s="208"/>
      <c r="AI674" s="208"/>
      <c r="AJ674" s="208"/>
      <c r="AK674" s="208"/>
      <c r="AL674" s="208"/>
      <c r="AM674" s="208"/>
    </row>
    <row r="675" spans="1:39" ht="13.8" x14ac:dyDescent="0.25">
      <c r="A675" s="206"/>
      <c r="H675" s="207"/>
      <c r="J675" s="3"/>
      <c r="AG675" s="208"/>
      <c r="AH675" s="208"/>
      <c r="AI675" s="208"/>
      <c r="AJ675" s="208"/>
      <c r="AK675" s="208"/>
      <c r="AL675" s="208"/>
      <c r="AM675" s="208"/>
    </row>
    <row r="676" spans="1:39" ht="13.8" x14ac:dyDescent="0.25">
      <c r="A676" s="206"/>
      <c r="H676" s="207"/>
      <c r="J676" s="3"/>
      <c r="AG676" s="208"/>
      <c r="AH676" s="208"/>
      <c r="AI676" s="208"/>
      <c r="AJ676" s="208"/>
      <c r="AK676" s="208"/>
      <c r="AL676" s="208"/>
      <c r="AM676" s="208"/>
    </row>
    <row r="677" spans="1:39" ht="13.8" x14ac:dyDescent="0.25">
      <c r="A677" s="206"/>
      <c r="H677" s="207"/>
      <c r="J677" s="3"/>
      <c r="AG677" s="208"/>
      <c r="AH677" s="208"/>
      <c r="AI677" s="208"/>
      <c r="AJ677" s="208"/>
      <c r="AK677" s="208"/>
      <c r="AL677" s="208"/>
      <c r="AM677" s="208"/>
    </row>
    <row r="678" spans="1:39" ht="13.8" x14ac:dyDescent="0.25">
      <c r="A678" s="206"/>
      <c r="H678" s="207"/>
      <c r="J678" s="3"/>
      <c r="AG678" s="208"/>
      <c r="AH678" s="208"/>
      <c r="AI678" s="208"/>
      <c r="AJ678" s="208"/>
      <c r="AK678" s="208"/>
      <c r="AL678" s="208"/>
      <c r="AM678" s="208"/>
    </row>
    <row r="679" spans="1:39" ht="13.8" x14ac:dyDescent="0.25">
      <c r="A679" s="206"/>
      <c r="H679" s="207"/>
      <c r="J679" s="3"/>
      <c r="AG679" s="208"/>
      <c r="AH679" s="208"/>
      <c r="AI679" s="208"/>
      <c r="AJ679" s="208"/>
      <c r="AK679" s="208"/>
      <c r="AL679" s="208"/>
      <c r="AM679" s="208"/>
    </row>
    <row r="680" spans="1:39" ht="13.8" x14ac:dyDescent="0.25">
      <c r="A680" s="206"/>
      <c r="H680" s="207"/>
      <c r="J680" s="3"/>
      <c r="AG680" s="208"/>
      <c r="AH680" s="208"/>
      <c r="AI680" s="208"/>
      <c r="AJ680" s="208"/>
      <c r="AK680" s="208"/>
      <c r="AL680" s="208"/>
      <c r="AM680" s="208"/>
    </row>
    <row r="681" spans="1:39" ht="13.8" x14ac:dyDescent="0.25">
      <c r="A681" s="206"/>
      <c r="H681" s="207"/>
      <c r="J681" s="3"/>
      <c r="AG681" s="208"/>
      <c r="AH681" s="208"/>
      <c r="AI681" s="208"/>
      <c r="AJ681" s="208"/>
      <c r="AK681" s="208"/>
      <c r="AL681" s="208"/>
      <c r="AM681" s="208"/>
    </row>
    <row r="682" spans="1:39" ht="13.8" x14ac:dyDescent="0.25">
      <c r="A682" s="206"/>
      <c r="H682" s="207"/>
      <c r="J682" s="3"/>
      <c r="AG682" s="208"/>
      <c r="AH682" s="208"/>
      <c r="AI682" s="208"/>
      <c r="AJ682" s="208"/>
      <c r="AK682" s="208"/>
      <c r="AL682" s="208"/>
      <c r="AM682" s="208"/>
    </row>
    <row r="683" spans="1:39" ht="13.8" x14ac:dyDescent="0.25">
      <c r="A683" s="206"/>
      <c r="H683" s="207"/>
      <c r="J683" s="3"/>
      <c r="AG683" s="208"/>
      <c r="AH683" s="208"/>
      <c r="AI683" s="208"/>
      <c r="AJ683" s="208"/>
      <c r="AK683" s="208"/>
      <c r="AL683" s="208"/>
      <c r="AM683" s="208"/>
    </row>
    <row r="684" spans="1:39" ht="13.8" x14ac:dyDescent="0.25">
      <c r="A684" s="206"/>
      <c r="H684" s="207"/>
      <c r="J684" s="3"/>
      <c r="AG684" s="208"/>
      <c r="AH684" s="208"/>
      <c r="AI684" s="208"/>
      <c r="AJ684" s="208"/>
      <c r="AK684" s="208"/>
      <c r="AL684" s="208"/>
      <c r="AM684" s="208"/>
    </row>
    <row r="685" spans="1:39" ht="13.8" x14ac:dyDescent="0.25">
      <c r="A685" s="206"/>
      <c r="H685" s="207"/>
      <c r="J685" s="3"/>
      <c r="AG685" s="208"/>
      <c r="AH685" s="208"/>
      <c r="AI685" s="208"/>
      <c r="AJ685" s="208"/>
      <c r="AK685" s="208"/>
      <c r="AL685" s="208"/>
      <c r="AM685" s="208"/>
    </row>
    <row r="686" spans="1:39" ht="13.8" x14ac:dyDescent="0.25">
      <c r="A686" s="206"/>
      <c r="H686" s="207"/>
      <c r="J686" s="3"/>
      <c r="AG686" s="208"/>
      <c r="AH686" s="208"/>
      <c r="AI686" s="208"/>
      <c r="AJ686" s="208"/>
      <c r="AK686" s="208"/>
      <c r="AL686" s="208"/>
      <c r="AM686" s="208"/>
    </row>
    <row r="687" spans="1:39" ht="13.8" x14ac:dyDescent="0.25">
      <c r="A687" s="206"/>
      <c r="H687" s="207"/>
      <c r="J687" s="3"/>
      <c r="AG687" s="208"/>
      <c r="AH687" s="208"/>
      <c r="AI687" s="208"/>
      <c r="AJ687" s="208"/>
      <c r="AK687" s="208"/>
      <c r="AL687" s="208"/>
      <c r="AM687" s="208"/>
    </row>
    <row r="688" spans="1:39" ht="13.8" x14ac:dyDescent="0.25">
      <c r="A688" s="206"/>
      <c r="H688" s="207"/>
      <c r="J688" s="3"/>
      <c r="AG688" s="208"/>
      <c r="AH688" s="208"/>
      <c r="AI688" s="208"/>
      <c r="AJ688" s="208"/>
      <c r="AK688" s="208"/>
      <c r="AL688" s="208"/>
      <c r="AM688" s="208"/>
    </row>
    <row r="689" spans="1:39" ht="13.8" x14ac:dyDescent="0.25">
      <c r="A689" s="206"/>
      <c r="H689" s="207"/>
      <c r="J689" s="3"/>
      <c r="AG689" s="208"/>
      <c r="AH689" s="208"/>
      <c r="AI689" s="208"/>
      <c r="AJ689" s="208"/>
      <c r="AK689" s="208"/>
      <c r="AL689" s="208"/>
      <c r="AM689" s="208"/>
    </row>
    <row r="690" spans="1:39" ht="13.8" x14ac:dyDescent="0.25">
      <c r="A690" s="206"/>
      <c r="H690" s="207"/>
      <c r="J690" s="3"/>
      <c r="AG690" s="208"/>
      <c r="AH690" s="208"/>
      <c r="AI690" s="208"/>
      <c r="AJ690" s="208"/>
      <c r="AK690" s="208"/>
      <c r="AL690" s="208"/>
      <c r="AM690" s="208"/>
    </row>
    <row r="691" spans="1:39" ht="13.8" x14ac:dyDescent="0.25">
      <c r="A691" s="206"/>
      <c r="H691" s="207"/>
      <c r="J691" s="3"/>
      <c r="AG691" s="208"/>
      <c r="AH691" s="208"/>
      <c r="AI691" s="208"/>
      <c r="AJ691" s="208"/>
      <c r="AK691" s="208"/>
      <c r="AL691" s="208"/>
      <c r="AM691" s="208"/>
    </row>
    <row r="692" spans="1:39" ht="13.8" x14ac:dyDescent="0.25">
      <c r="A692" s="206"/>
      <c r="H692" s="207"/>
      <c r="J692" s="3"/>
      <c r="AG692" s="208"/>
      <c r="AH692" s="208"/>
      <c r="AI692" s="208"/>
      <c r="AJ692" s="208"/>
      <c r="AK692" s="208"/>
      <c r="AL692" s="208"/>
      <c r="AM692" s="208"/>
    </row>
    <row r="693" spans="1:39" ht="13.8" x14ac:dyDescent="0.25">
      <c r="A693" s="206"/>
      <c r="H693" s="207"/>
      <c r="J693" s="3"/>
      <c r="AG693" s="208"/>
      <c r="AH693" s="208"/>
      <c r="AI693" s="208"/>
      <c r="AJ693" s="208"/>
      <c r="AK693" s="208"/>
      <c r="AL693" s="208"/>
      <c r="AM693" s="208"/>
    </row>
    <row r="694" spans="1:39" ht="13.8" x14ac:dyDescent="0.25">
      <c r="A694" s="206"/>
      <c r="H694" s="207"/>
      <c r="J694" s="3"/>
      <c r="AG694" s="208"/>
      <c r="AH694" s="208"/>
      <c r="AI694" s="208"/>
      <c r="AJ694" s="208"/>
      <c r="AK694" s="208"/>
      <c r="AL694" s="208"/>
      <c r="AM694" s="208"/>
    </row>
    <row r="695" spans="1:39" ht="13.8" x14ac:dyDescent="0.25">
      <c r="A695" s="206"/>
      <c r="H695" s="207"/>
      <c r="J695" s="3"/>
      <c r="AG695" s="208"/>
      <c r="AH695" s="208"/>
      <c r="AI695" s="208"/>
      <c r="AJ695" s="208"/>
      <c r="AK695" s="208"/>
      <c r="AL695" s="208"/>
      <c r="AM695" s="208"/>
    </row>
    <row r="696" spans="1:39" ht="13.8" x14ac:dyDescent="0.25">
      <c r="A696" s="206"/>
      <c r="H696" s="207"/>
      <c r="J696" s="3"/>
      <c r="AG696" s="208"/>
      <c r="AH696" s="208"/>
      <c r="AI696" s="208"/>
      <c r="AJ696" s="208"/>
      <c r="AK696" s="208"/>
      <c r="AL696" s="208"/>
      <c r="AM696" s="208"/>
    </row>
    <row r="697" spans="1:39" ht="13.8" x14ac:dyDescent="0.25">
      <c r="A697" s="206"/>
      <c r="H697" s="207"/>
      <c r="J697" s="3"/>
      <c r="AG697" s="208"/>
      <c r="AH697" s="208"/>
      <c r="AI697" s="208"/>
      <c r="AJ697" s="208"/>
      <c r="AK697" s="208"/>
      <c r="AL697" s="208"/>
      <c r="AM697" s="208"/>
    </row>
    <row r="698" spans="1:39" ht="13.8" x14ac:dyDescent="0.25">
      <c r="A698" s="206"/>
      <c r="H698" s="207"/>
      <c r="J698" s="3"/>
      <c r="AG698" s="208"/>
      <c r="AH698" s="208"/>
      <c r="AI698" s="208"/>
      <c r="AJ698" s="208"/>
      <c r="AK698" s="208"/>
      <c r="AL698" s="208"/>
      <c r="AM698" s="208"/>
    </row>
    <row r="699" spans="1:39" ht="13.8" x14ac:dyDescent="0.25">
      <c r="A699" s="206"/>
      <c r="H699" s="207"/>
      <c r="J699" s="3"/>
      <c r="AG699" s="208"/>
      <c r="AH699" s="208"/>
      <c r="AI699" s="208"/>
      <c r="AJ699" s="208"/>
      <c r="AK699" s="208"/>
      <c r="AL699" s="208"/>
      <c r="AM699" s="208"/>
    </row>
    <row r="700" spans="1:39" ht="13.8" x14ac:dyDescent="0.25">
      <c r="A700" s="206"/>
      <c r="H700" s="207"/>
      <c r="J700" s="3"/>
      <c r="AG700" s="208"/>
      <c r="AH700" s="208"/>
      <c r="AI700" s="208"/>
      <c r="AJ700" s="208"/>
      <c r="AK700" s="208"/>
      <c r="AL700" s="208"/>
      <c r="AM700" s="208"/>
    </row>
    <row r="701" spans="1:39" ht="13.8" x14ac:dyDescent="0.25">
      <c r="A701" s="206"/>
      <c r="H701" s="207"/>
      <c r="J701" s="3"/>
      <c r="AG701" s="208"/>
      <c r="AH701" s="208"/>
      <c r="AI701" s="208"/>
      <c r="AJ701" s="208"/>
      <c r="AK701" s="208"/>
      <c r="AL701" s="208"/>
      <c r="AM701" s="208"/>
    </row>
    <row r="702" spans="1:39" ht="13.8" x14ac:dyDescent="0.25">
      <c r="A702" s="206"/>
      <c r="H702" s="207"/>
      <c r="J702" s="3"/>
      <c r="AG702" s="208"/>
      <c r="AH702" s="208"/>
      <c r="AI702" s="208"/>
      <c r="AJ702" s="208"/>
      <c r="AK702" s="208"/>
      <c r="AL702" s="208"/>
      <c r="AM702" s="208"/>
    </row>
    <row r="703" spans="1:39" ht="13.8" x14ac:dyDescent="0.25">
      <c r="A703" s="206"/>
      <c r="H703" s="207"/>
      <c r="J703" s="3"/>
      <c r="AG703" s="208"/>
      <c r="AH703" s="208"/>
      <c r="AI703" s="208"/>
      <c r="AJ703" s="208"/>
      <c r="AK703" s="208"/>
      <c r="AL703" s="208"/>
      <c r="AM703" s="208"/>
    </row>
    <row r="704" spans="1:39" ht="13.8" x14ac:dyDescent="0.25">
      <c r="A704" s="206"/>
      <c r="H704" s="207"/>
      <c r="J704" s="3"/>
      <c r="AG704" s="208"/>
      <c r="AH704" s="208"/>
      <c r="AI704" s="208"/>
      <c r="AJ704" s="208"/>
      <c r="AK704" s="208"/>
      <c r="AL704" s="208"/>
      <c r="AM704" s="208"/>
    </row>
    <row r="705" spans="1:39" ht="13.8" x14ac:dyDescent="0.25">
      <c r="A705" s="206"/>
      <c r="H705" s="207"/>
      <c r="J705" s="3"/>
      <c r="AG705" s="208"/>
      <c r="AH705" s="208"/>
      <c r="AI705" s="208"/>
      <c r="AJ705" s="208"/>
      <c r="AK705" s="208"/>
      <c r="AL705" s="208"/>
      <c r="AM705" s="208"/>
    </row>
    <row r="706" spans="1:39" ht="13.8" x14ac:dyDescent="0.25">
      <c r="A706" s="206"/>
      <c r="H706" s="207"/>
      <c r="J706" s="3"/>
      <c r="AG706" s="208"/>
      <c r="AH706" s="208"/>
      <c r="AI706" s="208"/>
      <c r="AJ706" s="208"/>
      <c r="AK706" s="208"/>
      <c r="AL706" s="208"/>
      <c r="AM706" s="208"/>
    </row>
    <row r="707" spans="1:39" ht="13.8" x14ac:dyDescent="0.25">
      <c r="A707" s="206"/>
      <c r="H707" s="207"/>
      <c r="J707" s="3"/>
      <c r="AG707" s="208"/>
      <c r="AH707" s="208"/>
      <c r="AI707" s="208"/>
      <c r="AJ707" s="208"/>
      <c r="AK707" s="208"/>
      <c r="AL707" s="208"/>
      <c r="AM707" s="208"/>
    </row>
    <row r="708" spans="1:39" ht="13.8" x14ac:dyDescent="0.25">
      <c r="A708" s="206"/>
      <c r="H708" s="207"/>
      <c r="J708" s="3"/>
      <c r="AG708" s="208"/>
      <c r="AH708" s="208"/>
      <c r="AI708" s="208"/>
      <c r="AJ708" s="208"/>
      <c r="AK708" s="208"/>
      <c r="AL708" s="208"/>
      <c r="AM708" s="208"/>
    </row>
    <row r="709" spans="1:39" ht="13.8" x14ac:dyDescent="0.25">
      <c r="A709" s="206"/>
      <c r="H709" s="207"/>
      <c r="J709" s="3"/>
      <c r="AG709" s="208"/>
      <c r="AH709" s="208"/>
      <c r="AI709" s="208"/>
      <c r="AJ709" s="208"/>
      <c r="AK709" s="208"/>
      <c r="AL709" s="208"/>
      <c r="AM709" s="208"/>
    </row>
    <row r="710" spans="1:39" ht="13.8" x14ac:dyDescent="0.25">
      <c r="A710" s="206"/>
      <c r="H710" s="207"/>
      <c r="J710" s="3"/>
      <c r="AG710" s="208"/>
      <c r="AH710" s="208"/>
      <c r="AI710" s="208"/>
      <c r="AJ710" s="208"/>
      <c r="AK710" s="208"/>
      <c r="AL710" s="208"/>
      <c r="AM710" s="208"/>
    </row>
    <row r="711" spans="1:39" ht="13.8" x14ac:dyDescent="0.25">
      <c r="A711" s="206"/>
      <c r="H711" s="207"/>
      <c r="J711" s="3"/>
      <c r="AG711" s="208"/>
      <c r="AH711" s="208"/>
      <c r="AI711" s="208"/>
      <c r="AJ711" s="208"/>
      <c r="AK711" s="208"/>
      <c r="AL711" s="208"/>
      <c r="AM711" s="208"/>
    </row>
    <row r="712" spans="1:39" ht="13.8" x14ac:dyDescent="0.25">
      <c r="A712" s="206"/>
      <c r="H712" s="207"/>
      <c r="J712" s="3"/>
      <c r="AG712" s="208"/>
      <c r="AH712" s="208"/>
      <c r="AI712" s="208"/>
      <c r="AJ712" s="208"/>
      <c r="AK712" s="208"/>
      <c r="AL712" s="208"/>
      <c r="AM712" s="208"/>
    </row>
    <row r="713" spans="1:39" ht="13.8" x14ac:dyDescent="0.25">
      <c r="A713" s="206"/>
      <c r="H713" s="207"/>
      <c r="J713" s="3"/>
      <c r="AG713" s="208"/>
      <c r="AH713" s="208"/>
      <c r="AI713" s="208"/>
      <c r="AJ713" s="208"/>
      <c r="AK713" s="208"/>
      <c r="AL713" s="208"/>
      <c r="AM713" s="208"/>
    </row>
    <row r="714" spans="1:39" ht="13.8" x14ac:dyDescent="0.25">
      <c r="A714" s="206"/>
      <c r="H714" s="207"/>
      <c r="J714" s="3"/>
      <c r="AG714" s="208"/>
      <c r="AH714" s="208"/>
      <c r="AI714" s="208"/>
      <c r="AJ714" s="208"/>
      <c r="AK714" s="208"/>
      <c r="AL714" s="208"/>
      <c r="AM714" s="208"/>
    </row>
    <row r="715" spans="1:39" ht="13.8" x14ac:dyDescent="0.25">
      <c r="A715" s="206"/>
      <c r="H715" s="207"/>
      <c r="J715" s="3"/>
      <c r="AG715" s="208"/>
      <c r="AH715" s="208"/>
      <c r="AI715" s="208"/>
      <c r="AJ715" s="208"/>
      <c r="AK715" s="208"/>
      <c r="AL715" s="208"/>
      <c r="AM715" s="208"/>
    </row>
    <row r="716" spans="1:39" ht="13.8" x14ac:dyDescent="0.25">
      <c r="A716" s="206"/>
      <c r="H716" s="207"/>
      <c r="J716" s="3"/>
      <c r="AG716" s="208"/>
      <c r="AH716" s="208"/>
      <c r="AI716" s="208"/>
      <c r="AJ716" s="208"/>
      <c r="AK716" s="208"/>
      <c r="AL716" s="208"/>
      <c r="AM716" s="208"/>
    </row>
    <row r="717" spans="1:39" ht="13.8" x14ac:dyDescent="0.25">
      <c r="A717" s="206"/>
      <c r="H717" s="207"/>
      <c r="J717" s="3"/>
      <c r="AG717" s="208"/>
      <c r="AH717" s="208"/>
      <c r="AI717" s="208"/>
      <c r="AJ717" s="208"/>
      <c r="AK717" s="208"/>
      <c r="AL717" s="208"/>
      <c r="AM717" s="208"/>
    </row>
    <row r="718" spans="1:39" ht="13.8" x14ac:dyDescent="0.25">
      <c r="A718" s="206"/>
      <c r="H718" s="207"/>
      <c r="J718" s="3"/>
      <c r="AG718" s="208"/>
      <c r="AH718" s="208"/>
      <c r="AI718" s="208"/>
      <c r="AJ718" s="208"/>
      <c r="AK718" s="208"/>
      <c r="AL718" s="208"/>
      <c r="AM718" s="208"/>
    </row>
    <row r="719" spans="1:39" ht="13.8" x14ac:dyDescent="0.25">
      <c r="A719" s="206"/>
      <c r="H719" s="207"/>
      <c r="J719" s="3"/>
      <c r="AG719" s="208"/>
      <c r="AH719" s="208"/>
      <c r="AI719" s="208"/>
      <c r="AJ719" s="208"/>
      <c r="AK719" s="208"/>
      <c r="AL719" s="208"/>
      <c r="AM719" s="208"/>
    </row>
    <row r="720" spans="1:39" ht="13.8" x14ac:dyDescent="0.25">
      <c r="A720" s="206"/>
      <c r="H720" s="207"/>
      <c r="J720" s="3"/>
      <c r="AG720" s="208"/>
      <c r="AH720" s="208"/>
      <c r="AI720" s="208"/>
      <c r="AJ720" s="208"/>
      <c r="AK720" s="208"/>
      <c r="AL720" s="208"/>
      <c r="AM720" s="208"/>
    </row>
    <row r="721" spans="1:39" ht="13.8" x14ac:dyDescent="0.25">
      <c r="A721" s="206"/>
      <c r="H721" s="207"/>
      <c r="J721" s="3"/>
      <c r="AG721" s="208"/>
      <c r="AH721" s="208"/>
      <c r="AI721" s="208"/>
      <c r="AJ721" s="208"/>
      <c r="AK721" s="208"/>
      <c r="AL721" s="208"/>
      <c r="AM721" s="208"/>
    </row>
    <row r="722" spans="1:39" ht="13.8" x14ac:dyDescent="0.25">
      <c r="A722" s="206"/>
      <c r="H722" s="207"/>
      <c r="J722" s="3"/>
      <c r="AG722" s="208"/>
      <c r="AH722" s="208"/>
      <c r="AI722" s="208"/>
      <c r="AJ722" s="208"/>
      <c r="AK722" s="208"/>
      <c r="AL722" s="208"/>
      <c r="AM722" s="208"/>
    </row>
    <row r="723" spans="1:39" ht="13.8" x14ac:dyDescent="0.25">
      <c r="A723" s="206"/>
      <c r="H723" s="207"/>
      <c r="J723" s="3"/>
      <c r="AG723" s="208"/>
      <c r="AH723" s="208"/>
      <c r="AI723" s="208"/>
      <c r="AJ723" s="208"/>
      <c r="AK723" s="208"/>
      <c r="AL723" s="208"/>
      <c r="AM723" s="208"/>
    </row>
    <row r="724" spans="1:39" ht="13.8" x14ac:dyDescent="0.25">
      <c r="A724" s="206"/>
      <c r="H724" s="207"/>
      <c r="J724" s="3"/>
      <c r="AG724" s="208"/>
      <c r="AH724" s="208"/>
      <c r="AI724" s="208"/>
      <c r="AJ724" s="208"/>
      <c r="AK724" s="208"/>
      <c r="AL724" s="208"/>
      <c r="AM724" s="208"/>
    </row>
    <row r="725" spans="1:39" ht="13.8" x14ac:dyDescent="0.25">
      <c r="A725" s="206"/>
      <c r="H725" s="207"/>
      <c r="J725" s="3"/>
      <c r="AG725" s="208"/>
      <c r="AH725" s="208"/>
      <c r="AI725" s="208"/>
      <c r="AJ725" s="208"/>
      <c r="AK725" s="208"/>
      <c r="AL725" s="208"/>
      <c r="AM725" s="208"/>
    </row>
    <row r="726" spans="1:39" ht="13.8" x14ac:dyDescent="0.25">
      <c r="A726" s="206"/>
      <c r="H726" s="207"/>
      <c r="J726" s="3"/>
      <c r="AG726" s="208"/>
      <c r="AH726" s="208"/>
      <c r="AI726" s="208"/>
      <c r="AJ726" s="208"/>
      <c r="AK726" s="208"/>
      <c r="AL726" s="208"/>
      <c r="AM726" s="208"/>
    </row>
    <row r="727" spans="1:39" ht="13.8" x14ac:dyDescent="0.25">
      <c r="A727" s="206"/>
      <c r="H727" s="207"/>
      <c r="J727" s="3"/>
      <c r="AG727" s="208"/>
      <c r="AH727" s="208"/>
      <c r="AI727" s="208"/>
      <c r="AJ727" s="208"/>
      <c r="AK727" s="208"/>
      <c r="AL727" s="208"/>
      <c r="AM727" s="208"/>
    </row>
    <row r="728" spans="1:39" ht="13.8" x14ac:dyDescent="0.25">
      <c r="A728" s="206"/>
      <c r="H728" s="207"/>
      <c r="J728" s="3"/>
      <c r="AG728" s="208"/>
      <c r="AH728" s="208"/>
      <c r="AI728" s="208"/>
      <c r="AJ728" s="208"/>
      <c r="AK728" s="208"/>
      <c r="AL728" s="208"/>
      <c r="AM728" s="208"/>
    </row>
    <row r="729" spans="1:39" ht="13.8" x14ac:dyDescent="0.25">
      <c r="A729" s="206"/>
      <c r="H729" s="207"/>
      <c r="J729" s="3"/>
      <c r="AG729" s="208"/>
      <c r="AH729" s="208"/>
      <c r="AI729" s="208"/>
      <c r="AJ729" s="208"/>
      <c r="AK729" s="208"/>
      <c r="AL729" s="208"/>
      <c r="AM729" s="208"/>
    </row>
    <row r="730" spans="1:39" ht="13.8" x14ac:dyDescent="0.25">
      <c r="A730" s="206"/>
      <c r="H730" s="207"/>
      <c r="J730" s="3"/>
      <c r="AG730" s="208"/>
      <c r="AH730" s="208"/>
      <c r="AI730" s="208"/>
      <c r="AJ730" s="208"/>
      <c r="AK730" s="208"/>
      <c r="AL730" s="208"/>
      <c r="AM730" s="208"/>
    </row>
    <row r="731" spans="1:39" ht="13.8" x14ac:dyDescent="0.25">
      <c r="A731" s="206"/>
      <c r="H731" s="207"/>
      <c r="J731" s="3"/>
      <c r="AG731" s="208"/>
      <c r="AH731" s="208"/>
      <c r="AI731" s="208"/>
      <c r="AJ731" s="208"/>
      <c r="AK731" s="208"/>
      <c r="AL731" s="208"/>
      <c r="AM731" s="208"/>
    </row>
    <row r="732" spans="1:39" ht="13.8" x14ac:dyDescent="0.25">
      <c r="A732" s="206"/>
      <c r="H732" s="207"/>
      <c r="J732" s="3"/>
      <c r="AG732" s="208"/>
      <c r="AH732" s="208"/>
      <c r="AI732" s="208"/>
      <c r="AJ732" s="208"/>
      <c r="AK732" s="208"/>
      <c r="AL732" s="208"/>
      <c r="AM732" s="208"/>
    </row>
    <row r="733" spans="1:39" ht="13.8" x14ac:dyDescent="0.25">
      <c r="A733" s="206"/>
      <c r="H733" s="207"/>
      <c r="J733" s="3"/>
      <c r="AG733" s="208"/>
      <c r="AH733" s="208"/>
      <c r="AI733" s="208"/>
      <c r="AJ733" s="208"/>
      <c r="AK733" s="208"/>
      <c r="AL733" s="208"/>
      <c r="AM733" s="208"/>
    </row>
    <row r="734" spans="1:39" ht="13.8" x14ac:dyDescent="0.25">
      <c r="A734" s="206"/>
      <c r="H734" s="207"/>
      <c r="J734" s="3"/>
      <c r="AG734" s="208"/>
      <c r="AH734" s="208"/>
      <c r="AI734" s="208"/>
      <c r="AJ734" s="208"/>
      <c r="AK734" s="208"/>
      <c r="AL734" s="208"/>
      <c r="AM734" s="208"/>
    </row>
    <row r="735" spans="1:39" ht="13.8" x14ac:dyDescent="0.25">
      <c r="A735" s="206"/>
      <c r="H735" s="207"/>
      <c r="J735" s="3"/>
      <c r="AG735" s="208"/>
      <c r="AH735" s="208"/>
      <c r="AI735" s="208"/>
      <c r="AJ735" s="208"/>
      <c r="AK735" s="208"/>
      <c r="AL735" s="208"/>
      <c r="AM735" s="208"/>
    </row>
    <row r="736" spans="1:39" ht="13.8" x14ac:dyDescent="0.25">
      <c r="A736" s="206"/>
      <c r="H736" s="207"/>
      <c r="J736" s="3"/>
      <c r="AG736" s="208"/>
      <c r="AH736" s="208"/>
      <c r="AI736" s="208"/>
      <c r="AJ736" s="208"/>
      <c r="AK736" s="208"/>
      <c r="AL736" s="208"/>
      <c r="AM736" s="208"/>
    </row>
    <row r="737" spans="1:39" ht="13.8" x14ac:dyDescent="0.25">
      <c r="A737" s="206"/>
      <c r="H737" s="207"/>
      <c r="J737" s="3"/>
      <c r="AG737" s="208"/>
      <c r="AH737" s="208"/>
      <c r="AI737" s="208"/>
      <c r="AJ737" s="208"/>
      <c r="AK737" s="208"/>
      <c r="AL737" s="208"/>
      <c r="AM737" s="208"/>
    </row>
    <row r="738" spans="1:39" ht="13.8" x14ac:dyDescent="0.25">
      <c r="A738" s="206"/>
      <c r="H738" s="207"/>
      <c r="J738" s="3"/>
      <c r="AG738" s="208"/>
      <c r="AH738" s="208"/>
      <c r="AI738" s="208"/>
      <c r="AJ738" s="208"/>
      <c r="AK738" s="208"/>
      <c r="AL738" s="208"/>
      <c r="AM738" s="208"/>
    </row>
    <row r="739" spans="1:39" ht="13.8" x14ac:dyDescent="0.25">
      <c r="A739" s="206"/>
      <c r="H739" s="207"/>
      <c r="J739" s="3"/>
      <c r="AG739" s="208"/>
      <c r="AH739" s="208"/>
      <c r="AI739" s="208"/>
      <c r="AJ739" s="208"/>
      <c r="AK739" s="208"/>
      <c r="AL739" s="208"/>
      <c r="AM739" s="208"/>
    </row>
    <row r="740" spans="1:39" ht="13.8" x14ac:dyDescent="0.25">
      <c r="A740" s="206"/>
      <c r="H740" s="207"/>
      <c r="J740" s="3"/>
      <c r="AG740" s="208"/>
      <c r="AH740" s="208"/>
      <c r="AI740" s="208"/>
      <c r="AJ740" s="208"/>
      <c r="AK740" s="208"/>
      <c r="AL740" s="208"/>
      <c r="AM740" s="208"/>
    </row>
    <row r="741" spans="1:39" ht="13.8" x14ac:dyDescent="0.25">
      <c r="A741" s="206"/>
      <c r="H741" s="207"/>
      <c r="J741" s="3"/>
      <c r="AG741" s="208"/>
      <c r="AH741" s="208"/>
      <c r="AI741" s="208"/>
      <c r="AJ741" s="208"/>
      <c r="AK741" s="208"/>
      <c r="AL741" s="208"/>
      <c r="AM741" s="208"/>
    </row>
    <row r="742" spans="1:39" ht="13.8" x14ac:dyDescent="0.25">
      <c r="A742" s="206"/>
      <c r="H742" s="207"/>
      <c r="J742" s="3"/>
      <c r="AG742" s="208"/>
      <c r="AH742" s="208"/>
      <c r="AI742" s="208"/>
      <c r="AJ742" s="208"/>
      <c r="AK742" s="208"/>
      <c r="AL742" s="208"/>
      <c r="AM742" s="208"/>
    </row>
    <row r="743" spans="1:39" ht="13.8" x14ac:dyDescent="0.25">
      <c r="A743" s="206"/>
      <c r="H743" s="207"/>
      <c r="J743" s="3"/>
      <c r="AG743" s="208"/>
      <c r="AH743" s="208"/>
      <c r="AI743" s="208"/>
      <c r="AJ743" s="208"/>
      <c r="AK743" s="208"/>
      <c r="AL743" s="208"/>
      <c r="AM743" s="208"/>
    </row>
    <row r="744" spans="1:39" ht="13.8" x14ac:dyDescent="0.25">
      <c r="A744" s="206"/>
      <c r="H744" s="207"/>
      <c r="J744" s="3"/>
      <c r="AG744" s="208"/>
      <c r="AH744" s="208"/>
      <c r="AI744" s="208"/>
      <c r="AJ744" s="208"/>
      <c r="AK744" s="208"/>
      <c r="AL744" s="208"/>
      <c r="AM744" s="208"/>
    </row>
    <row r="745" spans="1:39" ht="13.8" x14ac:dyDescent="0.25">
      <c r="A745" s="206"/>
      <c r="H745" s="207"/>
      <c r="J745" s="3"/>
      <c r="AG745" s="208"/>
      <c r="AH745" s="208"/>
      <c r="AI745" s="208"/>
      <c r="AJ745" s="208"/>
      <c r="AK745" s="208"/>
      <c r="AL745" s="208"/>
      <c r="AM745" s="208"/>
    </row>
    <row r="746" spans="1:39" ht="13.8" x14ac:dyDescent="0.25">
      <c r="A746" s="206"/>
      <c r="H746" s="207"/>
      <c r="J746" s="3"/>
      <c r="AG746" s="208"/>
      <c r="AH746" s="208"/>
      <c r="AI746" s="208"/>
      <c r="AJ746" s="208"/>
      <c r="AK746" s="208"/>
      <c r="AL746" s="208"/>
      <c r="AM746" s="208"/>
    </row>
    <row r="747" spans="1:39" ht="13.8" x14ac:dyDescent="0.25">
      <c r="A747" s="206"/>
      <c r="H747" s="207"/>
      <c r="J747" s="3"/>
      <c r="AG747" s="208"/>
      <c r="AH747" s="208"/>
      <c r="AI747" s="208"/>
      <c r="AJ747" s="208"/>
      <c r="AK747" s="208"/>
      <c r="AL747" s="208"/>
      <c r="AM747" s="208"/>
    </row>
    <row r="748" spans="1:39" ht="13.8" x14ac:dyDescent="0.25">
      <c r="A748" s="206"/>
      <c r="H748" s="207"/>
      <c r="J748" s="3"/>
      <c r="AG748" s="208"/>
      <c r="AH748" s="208"/>
      <c r="AI748" s="208"/>
      <c r="AJ748" s="208"/>
      <c r="AK748" s="208"/>
      <c r="AL748" s="208"/>
      <c r="AM748" s="208"/>
    </row>
    <row r="749" spans="1:39" ht="13.8" x14ac:dyDescent="0.25">
      <c r="A749" s="206"/>
      <c r="H749" s="207"/>
      <c r="J749" s="3"/>
      <c r="AG749" s="208"/>
      <c r="AH749" s="208"/>
      <c r="AI749" s="208"/>
      <c r="AJ749" s="208"/>
      <c r="AK749" s="208"/>
      <c r="AL749" s="208"/>
      <c r="AM749" s="208"/>
    </row>
    <row r="750" spans="1:39" ht="13.8" x14ac:dyDescent="0.25">
      <c r="A750" s="206"/>
      <c r="H750" s="207"/>
      <c r="J750" s="3"/>
      <c r="AG750" s="208"/>
      <c r="AH750" s="208"/>
      <c r="AI750" s="208"/>
      <c r="AJ750" s="208"/>
      <c r="AK750" s="208"/>
      <c r="AL750" s="208"/>
      <c r="AM750" s="208"/>
    </row>
    <row r="751" spans="1:39" ht="13.8" x14ac:dyDescent="0.25">
      <c r="A751" s="206"/>
      <c r="H751" s="207"/>
      <c r="J751" s="3"/>
      <c r="AG751" s="208"/>
      <c r="AH751" s="208"/>
      <c r="AI751" s="208"/>
      <c r="AJ751" s="208"/>
      <c r="AK751" s="208"/>
      <c r="AL751" s="208"/>
      <c r="AM751" s="208"/>
    </row>
    <row r="752" spans="1:39" ht="13.8" x14ac:dyDescent="0.25">
      <c r="A752" s="206"/>
      <c r="H752" s="207"/>
      <c r="J752" s="3"/>
      <c r="AG752" s="208"/>
      <c r="AH752" s="208"/>
      <c r="AI752" s="208"/>
      <c r="AJ752" s="208"/>
      <c r="AK752" s="208"/>
      <c r="AL752" s="208"/>
      <c r="AM752" s="208"/>
    </row>
    <row r="753" spans="1:39" ht="13.8" x14ac:dyDescent="0.25">
      <c r="A753" s="206"/>
      <c r="H753" s="207"/>
      <c r="J753" s="3"/>
      <c r="AG753" s="208"/>
      <c r="AH753" s="208"/>
      <c r="AI753" s="208"/>
      <c r="AJ753" s="208"/>
      <c r="AK753" s="208"/>
      <c r="AL753" s="208"/>
      <c r="AM753" s="208"/>
    </row>
    <row r="754" spans="1:39" ht="13.8" x14ac:dyDescent="0.25">
      <c r="A754" s="206"/>
      <c r="H754" s="207"/>
      <c r="J754" s="3"/>
      <c r="AG754" s="208"/>
      <c r="AH754" s="208"/>
      <c r="AI754" s="208"/>
      <c r="AJ754" s="208"/>
      <c r="AK754" s="208"/>
      <c r="AL754" s="208"/>
      <c r="AM754" s="208"/>
    </row>
    <row r="755" spans="1:39" ht="13.8" x14ac:dyDescent="0.25">
      <c r="A755" s="206"/>
      <c r="H755" s="207"/>
      <c r="J755" s="3"/>
      <c r="AG755" s="208"/>
      <c r="AH755" s="208"/>
      <c r="AI755" s="208"/>
      <c r="AJ755" s="208"/>
      <c r="AK755" s="208"/>
      <c r="AL755" s="208"/>
      <c r="AM755" s="208"/>
    </row>
    <row r="756" spans="1:39" ht="13.8" x14ac:dyDescent="0.25">
      <c r="A756" s="206"/>
      <c r="H756" s="207"/>
      <c r="J756" s="3"/>
      <c r="AG756" s="208"/>
      <c r="AH756" s="208"/>
      <c r="AI756" s="208"/>
      <c r="AJ756" s="208"/>
      <c r="AK756" s="208"/>
      <c r="AL756" s="208"/>
      <c r="AM756" s="208"/>
    </row>
    <row r="757" spans="1:39" ht="13.8" x14ac:dyDescent="0.25">
      <c r="A757" s="206"/>
      <c r="H757" s="207"/>
      <c r="J757" s="3"/>
      <c r="AG757" s="208"/>
      <c r="AH757" s="208"/>
      <c r="AI757" s="208"/>
      <c r="AJ757" s="208"/>
      <c r="AK757" s="208"/>
      <c r="AL757" s="208"/>
      <c r="AM757" s="208"/>
    </row>
    <row r="758" spans="1:39" ht="13.8" x14ac:dyDescent="0.25">
      <c r="A758" s="206"/>
      <c r="H758" s="207"/>
      <c r="J758" s="3"/>
      <c r="AG758" s="208"/>
      <c r="AH758" s="208"/>
      <c r="AI758" s="208"/>
      <c r="AJ758" s="208"/>
      <c r="AK758" s="208"/>
      <c r="AL758" s="208"/>
      <c r="AM758" s="208"/>
    </row>
    <row r="759" spans="1:39" ht="13.8" x14ac:dyDescent="0.25">
      <c r="A759" s="206"/>
      <c r="H759" s="207"/>
      <c r="J759" s="3"/>
      <c r="AG759" s="208"/>
      <c r="AH759" s="208"/>
      <c r="AI759" s="208"/>
      <c r="AJ759" s="208"/>
      <c r="AK759" s="208"/>
      <c r="AL759" s="208"/>
      <c r="AM759" s="208"/>
    </row>
    <row r="760" spans="1:39" ht="13.8" x14ac:dyDescent="0.25">
      <c r="A760" s="206"/>
      <c r="H760" s="207"/>
      <c r="J760" s="3"/>
      <c r="AG760" s="208"/>
      <c r="AH760" s="208"/>
      <c r="AI760" s="208"/>
      <c r="AJ760" s="208"/>
      <c r="AK760" s="208"/>
      <c r="AL760" s="208"/>
      <c r="AM760" s="208"/>
    </row>
    <row r="761" spans="1:39" ht="13.8" x14ac:dyDescent="0.25">
      <c r="A761" s="206"/>
      <c r="H761" s="207"/>
      <c r="J761" s="3"/>
      <c r="AG761" s="208"/>
      <c r="AH761" s="208"/>
      <c r="AI761" s="208"/>
      <c r="AJ761" s="208"/>
      <c r="AK761" s="208"/>
      <c r="AL761" s="208"/>
      <c r="AM761" s="208"/>
    </row>
    <row r="762" spans="1:39" ht="13.8" x14ac:dyDescent="0.25">
      <c r="A762" s="206"/>
      <c r="H762" s="207"/>
      <c r="J762" s="3"/>
      <c r="AG762" s="208"/>
      <c r="AH762" s="208"/>
      <c r="AI762" s="208"/>
      <c r="AJ762" s="208"/>
      <c r="AK762" s="208"/>
      <c r="AL762" s="208"/>
      <c r="AM762" s="208"/>
    </row>
    <row r="763" spans="1:39" ht="13.8" x14ac:dyDescent="0.25">
      <c r="A763" s="206"/>
      <c r="H763" s="207"/>
      <c r="J763" s="3"/>
      <c r="AG763" s="208"/>
      <c r="AH763" s="208"/>
      <c r="AI763" s="208"/>
      <c r="AJ763" s="208"/>
      <c r="AK763" s="208"/>
      <c r="AL763" s="208"/>
      <c r="AM763" s="208"/>
    </row>
    <row r="764" spans="1:39" ht="13.8" x14ac:dyDescent="0.25">
      <c r="A764" s="206"/>
      <c r="H764" s="207"/>
      <c r="J764" s="3"/>
      <c r="AG764" s="208"/>
      <c r="AH764" s="208"/>
      <c r="AI764" s="208"/>
      <c r="AJ764" s="208"/>
      <c r="AK764" s="208"/>
      <c r="AL764" s="208"/>
      <c r="AM764" s="208"/>
    </row>
    <row r="765" spans="1:39" ht="13.8" x14ac:dyDescent="0.25">
      <c r="A765" s="206"/>
      <c r="H765" s="207"/>
      <c r="J765" s="3"/>
      <c r="AG765" s="208"/>
      <c r="AH765" s="208"/>
      <c r="AI765" s="208"/>
      <c r="AJ765" s="208"/>
      <c r="AK765" s="208"/>
      <c r="AL765" s="208"/>
      <c r="AM765" s="208"/>
    </row>
    <row r="766" spans="1:39" ht="13.8" x14ac:dyDescent="0.25">
      <c r="A766" s="206"/>
      <c r="H766" s="207"/>
      <c r="J766" s="3"/>
      <c r="AG766" s="208"/>
      <c r="AH766" s="208"/>
      <c r="AI766" s="208"/>
      <c r="AJ766" s="208"/>
      <c r="AK766" s="208"/>
      <c r="AL766" s="208"/>
      <c r="AM766" s="208"/>
    </row>
    <row r="767" spans="1:39" ht="13.8" x14ac:dyDescent="0.25">
      <c r="A767" s="206"/>
      <c r="H767" s="207"/>
      <c r="J767" s="3"/>
      <c r="AG767" s="208"/>
      <c r="AH767" s="208"/>
      <c r="AI767" s="208"/>
      <c r="AJ767" s="208"/>
      <c r="AK767" s="208"/>
      <c r="AL767" s="208"/>
      <c r="AM767" s="208"/>
    </row>
    <row r="768" spans="1:39" ht="13.8" x14ac:dyDescent="0.25">
      <c r="A768" s="206"/>
      <c r="H768" s="207"/>
      <c r="J768" s="3"/>
      <c r="AG768" s="208"/>
      <c r="AH768" s="208"/>
      <c r="AI768" s="208"/>
      <c r="AJ768" s="208"/>
      <c r="AK768" s="208"/>
      <c r="AL768" s="208"/>
      <c r="AM768" s="208"/>
    </row>
    <row r="769" spans="1:39" ht="13.8" x14ac:dyDescent="0.25">
      <c r="A769" s="206"/>
      <c r="H769" s="207"/>
      <c r="J769" s="3"/>
      <c r="AG769" s="208"/>
      <c r="AH769" s="208"/>
      <c r="AI769" s="208"/>
      <c r="AJ769" s="208"/>
      <c r="AK769" s="208"/>
      <c r="AL769" s="208"/>
      <c r="AM769" s="208"/>
    </row>
    <row r="770" spans="1:39" ht="13.8" x14ac:dyDescent="0.25">
      <c r="A770" s="206"/>
      <c r="H770" s="207"/>
      <c r="J770" s="3"/>
      <c r="AG770" s="208"/>
      <c r="AH770" s="208"/>
      <c r="AI770" s="208"/>
      <c r="AJ770" s="208"/>
      <c r="AK770" s="208"/>
      <c r="AL770" s="208"/>
      <c r="AM770" s="208"/>
    </row>
    <row r="771" spans="1:39" ht="13.8" x14ac:dyDescent="0.25">
      <c r="A771" s="206"/>
      <c r="H771" s="207"/>
      <c r="J771" s="3"/>
      <c r="AG771" s="208"/>
      <c r="AH771" s="208"/>
      <c r="AI771" s="208"/>
      <c r="AJ771" s="208"/>
      <c r="AK771" s="208"/>
      <c r="AL771" s="208"/>
      <c r="AM771" s="208"/>
    </row>
    <row r="772" spans="1:39" ht="13.8" x14ac:dyDescent="0.25">
      <c r="A772" s="206"/>
      <c r="H772" s="207"/>
      <c r="J772" s="3"/>
      <c r="AG772" s="208"/>
      <c r="AH772" s="208"/>
      <c r="AI772" s="208"/>
      <c r="AJ772" s="208"/>
      <c r="AK772" s="208"/>
      <c r="AL772" s="208"/>
      <c r="AM772" s="208"/>
    </row>
    <row r="773" spans="1:39" ht="13.8" x14ac:dyDescent="0.25">
      <c r="A773" s="206"/>
      <c r="H773" s="207"/>
      <c r="J773" s="3"/>
      <c r="AG773" s="208"/>
      <c r="AH773" s="208"/>
      <c r="AI773" s="208"/>
      <c r="AJ773" s="208"/>
      <c r="AK773" s="208"/>
      <c r="AL773" s="208"/>
      <c r="AM773" s="208"/>
    </row>
    <row r="774" spans="1:39" ht="13.8" x14ac:dyDescent="0.25">
      <c r="A774" s="206"/>
      <c r="H774" s="207"/>
      <c r="J774" s="3"/>
      <c r="AG774" s="208"/>
      <c r="AH774" s="208"/>
      <c r="AI774" s="208"/>
      <c r="AJ774" s="208"/>
      <c r="AK774" s="208"/>
      <c r="AL774" s="208"/>
      <c r="AM774" s="208"/>
    </row>
    <row r="775" spans="1:39" ht="13.8" x14ac:dyDescent="0.25">
      <c r="A775" s="206"/>
      <c r="H775" s="207"/>
      <c r="J775" s="3"/>
      <c r="AG775" s="208"/>
      <c r="AH775" s="208"/>
      <c r="AI775" s="208"/>
      <c r="AJ775" s="208"/>
      <c r="AK775" s="208"/>
      <c r="AL775" s="208"/>
      <c r="AM775" s="208"/>
    </row>
    <row r="776" spans="1:39" ht="13.8" x14ac:dyDescent="0.25">
      <c r="A776" s="206"/>
      <c r="H776" s="207"/>
      <c r="J776" s="3"/>
      <c r="AG776" s="208"/>
      <c r="AH776" s="208"/>
      <c r="AI776" s="208"/>
      <c r="AJ776" s="208"/>
      <c r="AK776" s="208"/>
      <c r="AL776" s="208"/>
      <c r="AM776" s="208"/>
    </row>
    <row r="777" spans="1:39" ht="13.8" x14ac:dyDescent="0.25">
      <c r="A777" s="206"/>
      <c r="H777" s="207"/>
      <c r="J777" s="3"/>
      <c r="AG777" s="208"/>
      <c r="AH777" s="208"/>
      <c r="AI777" s="208"/>
      <c r="AJ777" s="208"/>
      <c r="AK777" s="208"/>
      <c r="AL777" s="208"/>
      <c r="AM777" s="208"/>
    </row>
    <row r="778" spans="1:39" ht="13.8" x14ac:dyDescent="0.25">
      <c r="A778" s="206"/>
      <c r="H778" s="207"/>
      <c r="J778" s="3"/>
      <c r="AG778" s="208"/>
      <c r="AH778" s="208"/>
      <c r="AI778" s="208"/>
      <c r="AJ778" s="208"/>
      <c r="AK778" s="208"/>
      <c r="AL778" s="208"/>
      <c r="AM778" s="208"/>
    </row>
    <row r="779" spans="1:39" ht="13.8" x14ac:dyDescent="0.25">
      <c r="A779" s="206"/>
      <c r="H779" s="207"/>
      <c r="J779" s="3"/>
      <c r="AG779" s="208"/>
      <c r="AH779" s="208"/>
      <c r="AI779" s="208"/>
      <c r="AJ779" s="208"/>
      <c r="AK779" s="208"/>
      <c r="AL779" s="208"/>
      <c r="AM779" s="208"/>
    </row>
    <row r="780" spans="1:39" ht="13.8" x14ac:dyDescent="0.25">
      <c r="A780" s="206"/>
      <c r="H780" s="207"/>
      <c r="J780" s="3"/>
      <c r="AG780" s="208"/>
      <c r="AH780" s="208"/>
      <c r="AI780" s="208"/>
      <c r="AJ780" s="208"/>
      <c r="AK780" s="208"/>
      <c r="AL780" s="208"/>
      <c r="AM780" s="208"/>
    </row>
    <row r="781" spans="1:39" ht="13.8" x14ac:dyDescent="0.25">
      <c r="A781" s="206"/>
      <c r="H781" s="207"/>
      <c r="J781" s="3"/>
      <c r="AG781" s="208"/>
      <c r="AH781" s="208"/>
      <c r="AI781" s="208"/>
      <c r="AJ781" s="208"/>
      <c r="AK781" s="208"/>
      <c r="AL781" s="208"/>
      <c r="AM781" s="208"/>
    </row>
    <row r="782" spans="1:39" ht="13.8" x14ac:dyDescent="0.25">
      <c r="A782" s="206"/>
      <c r="H782" s="207"/>
      <c r="J782" s="3"/>
      <c r="AG782" s="208"/>
      <c r="AH782" s="208"/>
      <c r="AI782" s="208"/>
      <c r="AJ782" s="208"/>
      <c r="AK782" s="208"/>
      <c r="AL782" s="208"/>
      <c r="AM782" s="208"/>
    </row>
    <row r="783" spans="1:39" ht="13.8" x14ac:dyDescent="0.25">
      <c r="A783" s="206"/>
      <c r="H783" s="207"/>
      <c r="J783" s="3"/>
      <c r="AG783" s="208"/>
      <c r="AH783" s="208"/>
      <c r="AI783" s="208"/>
      <c r="AJ783" s="208"/>
      <c r="AK783" s="208"/>
      <c r="AL783" s="208"/>
      <c r="AM783" s="208"/>
    </row>
    <row r="784" spans="1:39" ht="13.8" x14ac:dyDescent="0.25">
      <c r="A784" s="206"/>
      <c r="H784" s="207"/>
      <c r="J784" s="3"/>
      <c r="AG784" s="208"/>
      <c r="AH784" s="208"/>
      <c r="AI784" s="208"/>
      <c r="AJ784" s="208"/>
      <c r="AK784" s="208"/>
      <c r="AL784" s="208"/>
      <c r="AM784" s="208"/>
    </row>
    <row r="785" spans="1:39" ht="13.8" x14ac:dyDescent="0.25">
      <c r="A785" s="206"/>
      <c r="H785" s="207"/>
      <c r="J785" s="3"/>
      <c r="AG785" s="208"/>
      <c r="AH785" s="208"/>
      <c r="AI785" s="208"/>
      <c r="AJ785" s="208"/>
      <c r="AK785" s="208"/>
      <c r="AL785" s="208"/>
      <c r="AM785" s="208"/>
    </row>
    <row r="786" spans="1:39" ht="13.8" x14ac:dyDescent="0.25">
      <c r="A786" s="206"/>
      <c r="H786" s="207"/>
      <c r="J786" s="3"/>
      <c r="AG786" s="208"/>
      <c r="AH786" s="208"/>
      <c r="AI786" s="208"/>
      <c r="AJ786" s="208"/>
      <c r="AK786" s="208"/>
      <c r="AL786" s="208"/>
      <c r="AM786" s="208"/>
    </row>
    <row r="787" spans="1:39" ht="13.8" x14ac:dyDescent="0.25">
      <c r="A787" s="206"/>
      <c r="H787" s="207"/>
      <c r="J787" s="3"/>
      <c r="AG787" s="208"/>
      <c r="AH787" s="208"/>
      <c r="AI787" s="208"/>
      <c r="AJ787" s="208"/>
      <c r="AK787" s="208"/>
      <c r="AL787" s="208"/>
      <c r="AM787" s="208"/>
    </row>
    <row r="788" spans="1:39" ht="13.8" x14ac:dyDescent="0.25">
      <c r="A788" s="206"/>
      <c r="H788" s="207"/>
      <c r="J788" s="3"/>
      <c r="AG788" s="208"/>
      <c r="AH788" s="208"/>
      <c r="AI788" s="208"/>
      <c r="AJ788" s="208"/>
      <c r="AK788" s="208"/>
      <c r="AL788" s="208"/>
      <c r="AM788" s="208"/>
    </row>
    <row r="789" spans="1:39" ht="13.8" x14ac:dyDescent="0.25">
      <c r="A789" s="206"/>
      <c r="H789" s="207"/>
      <c r="J789" s="3"/>
      <c r="AG789" s="208"/>
      <c r="AH789" s="208"/>
      <c r="AI789" s="208"/>
      <c r="AJ789" s="208"/>
      <c r="AK789" s="208"/>
      <c r="AL789" s="208"/>
      <c r="AM789" s="208"/>
    </row>
    <row r="790" spans="1:39" ht="13.8" x14ac:dyDescent="0.25">
      <c r="A790" s="206"/>
      <c r="H790" s="207"/>
      <c r="J790" s="3"/>
      <c r="AG790" s="208"/>
      <c r="AH790" s="208"/>
      <c r="AI790" s="208"/>
      <c r="AJ790" s="208"/>
      <c r="AK790" s="208"/>
      <c r="AL790" s="208"/>
      <c r="AM790" s="208"/>
    </row>
    <row r="791" spans="1:39" ht="13.8" x14ac:dyDescent="0.25">
      <c r="A791" s="206"/>
      <c r="H791" s="207"/>
      <c r="J791" s="3"/>
      <c r="AG791" s="208"/>
      <c r="AH791" s="208"/>
      <c r="AI791" s="208"/>
      <c r="AJ791" s="208"/>
      <c r="AK791" s="208"/>
      <c r="AL791" s="208"/>
      <c r="AM791" s="208"/>
    </row>
    <row r="792" spans="1:39" ht="13.8" x14ac:dyDescent="0.25">
      <c r="A792" s="206"/>
      <c r="H792" s="207"/>
      <c r="J792" s="3"/>
      <c r="AG792" s="208"/>
      <c r="AH792" s="208"/>
      <c r="AI792" s="208"/>
      <c r="AJ792" s="208"/>
      <c r="AK792" s="208"/>
      <c r="AL792" s="208"/>
      <c r="AM792" s="208"/>
    </row>
    <row r="793" spans="1:39" ht="13.8" x14ac:dyDescent="0.25">
      <c r="A793" s="206"/>
      <c r="H793" s="207"/>
      <c r="J793" s="3"/>
      <c r="AG793" s="208"/>
      <c r="AH793" s="208"/>
      <c r="AI793" s="208"/>
      <c r="AJ793" s="208"/>
      <c r="AK793" s="208"/>
      <c r="AL793" s="208"/>
      <c r="AM793" s="208"/>
    </row>
    <row r="794" spans="1:39" ht="13.8" x14ac:dyDescent="0.25">
      <c r="A794" s="206"/>
      <c r="H794" s="207"/>
      <c r="J794" s="3"/>
      <c r="AG794" s="208"/>
      <c r="AH794" s="208"/>
      <c r="AI794" s="208"/>
      <c r="AJ794" s="208"/>
      <c r="AK794" s="208"/>
      <c r="AL794" s="208"/>
      <c r="AM794" s="208"/>
    </row>
    <row r="795" spans="1:39" ht="13.8" x14ac:dyDescent="0.25">
      <c r="A795" s="206"/>
      <c r="H795" s="207"/>
      <c r="J795" s="3"/>
      <c r="AG795" s="208"/>
      <c r="AH795" s="208"/>
      <c r="AI795" s="208"/>
      <c r="AJ795" s="208"/>
      <c r="AK795" s="208"/>
      <c r="AL795" s="208"/>
      <c r="AM795" s="208"/>
    </row>
    <row r="796" spans="1:39" ht="13.8" x14ac:dyDescent="0.25">
      <c r="A796" s="206"/>
      <c r="H796" s="207"/>
      <c r="J796" s="3"/>
      <c r="AG796" s="208"/>
      <c r="AH796" s="208"/>
      <c r="AI796" s="208"/>
      <c r="AJ796" s="208"/>
      <c r="AK796" s="208"/>
      <c r="AL796" s="208"/>
      <c r="AM796" s="208"/>
    </row>
    <row r="797" spans="1:39" ht="13.8" x14ac:dyDescent="0.25">
      <c r="A797" s="206"/>
      <c r="H797" s="207"/>
      <c r="J797" s="3"/>
      <c r="AG797" s="208"/>
      <c r="AH797" s="208"/>
      <c r="AI797" s="208"/>
      <c r="AJ797" s="208"/>
      <c r="AK797" s="208"/>
      <c r="AL797" s="208"/>
      <c r="AM797" s="208"/>
    </row>
    <row r="798" spans="1:39" ht="13.8" x14ac:dyDescent="0.25">
      <c r="A798" s="206"/>
      <c r="H798" s="207"/>
      <c r="J798" s="3"/>
      <c r="AG798" s="208"/>
      <c r="AH798" s="208"/>
      <c r="AI798" s="208"/>
      <c r="AJ798" s="208"/>
      <c r="AK798" s="208"/>
      <c r="AL798" s="208"/>
      <c r="AM798" s="208"/>
    </row>
    <row r="799" spans="1:39" ht="13.8" x14ac:dyDescent="0.25">
      <c r="A799" s="206"/>
      <c r="H799" s="207"/>
      <c r="J799" s="3"/>
      <c r="AG799" s="208"/>
      <c r="AH799" s="208"/>
      <c r="AI799" s="208"/>
      <c r="AJ799" s="208"/>
      <c r="AK799" s="208"/>
      <c r="AL799" s="208"/>
      <c r="AM799" s="208"/>
    </row>
    <row r="800" spans="1:39" ht="13.8" x14ac:dyDescent="0.25">
      <c r="A800" s="206"/>
      <c r="H800" s="207"/>
      <c r="J800" s="3"/>
      <c r="AG800" s="208"/>
      <c r="AH800" s="208"/>
      <c r="AI800" s="208"/>
      <c r="AJ800" s="208"/>
      <c r="AK800" s="208"/>
      <c r="AL800" s="208"/>
      <c r="AM800" s="208"/>
    </row>
    <row r="801" spans="1:39" ht="13.8" x14ac:dyDescent="0.25">
      <c r="A801" s="206"/>
      <c r="H801" s="207"/>
      <c r="J801" s="3"/>
      <c r="AG801" s="208"/>
      <c r="AH801" s="208"/>
      <c r="AI801" s="208"/>
      <c r="AJ801" s="208"/>
      <c r="AK801" s="208"/>
      <c r="AL801" s="208"/>
      <c r="AM801" s="208"/>
    </row>
    <row r="802" spans="1:39" ht="13.8" x14ac:dyDescent="0.25">
      <c r="A802" s="206"/>
      <c r="H802" s="207"/>
      <c r="J802" s="3"/>
      <c r="AG802" s="208"/>
      <c r="AH802" s="208"/>
      <c r="AI802" s="208"/>
      <c r="AJ802" s="208"/>
      <c r="AK802" s="208"/>
      <c r="AL802" s="208"/>
      <c r="AM802" s="208"/>
    </row>
    <row r="803" spans="1:39" ht="13.8" x14ac:dyDescent="0.25">
      <c r="A803" s="206"/>
      <c r="H803" s="207"/>
      <c r="J803" s="3"/>
      <c r="AG803" s="208"/>
      <c r="AH803" s="208"/>
      <c r="AI803" s="208"/>
      <c r="AJ803" s="208"/>
      <c r="AK803" s="208"/>
      <c r="AL803" s="208"/>
      <c r="AM803" s="208"/>
    </row>
    <row r="804" spans="1:39" ht="13.8" x14ac:dyDescent="0.25">
      <c r="A804" s="206"/>
      <c r="H804" s="207"/>
      <c r="J804" s="3"/>
      <c r="AG804" s="208"/>
      <c r="AH804" s="208"/>
      <c r="AI804" s="208"/>
      <c r="AJ804" s="208"/>
      <c r="AK804" s="208"/>
      <c r="AL804" s="208"/>
      <c r="AM804" s="208"/>
    </row>
    <row r="805" spans="1:39" ht="13.8" x14ac:dyDescent="0.25">
      <c r="A805" s="206"/>
      <c r="H805" s="207"/>
      <c r="J805" s="3"/>
      <c r="AG805" s="208"/>
      <c r="AH805" s="208"/>
      <c r="AI805" s="208"/>
      <c r="AJ805" s="208"/>
      <c r="AK805" s="208"/>
      <c r="AL805" s="208"/>
      <c r="AM805" s="208"/>
    </row>
    <row r="806" spans="1:39" ht="13.8" x14ac:dyDescent="0.25">
      <c r="A806" s="206"/>
      <c r="H806" s="207"/>
      <c r="J806" s="3"/>
      <c r="AG806" s="208"/>
      <c r="AH806" s="208"/>
      <c r="AI806" s="208"/>
      <c r="AJ806" s="208"/>
      <c r="AK806" s="208"/>
      <c r="AL806" s="208"/>
      <c r="AM806" s="208"/>
    </row>
    <row r="807" spans="1:39" ht="13.8" x14ac:dyDescent="0.25">
      <c r="A807" s="206"/>
      <c r="H807" s="207"/>
      <c r="J807" s="3"/>
      <c r="AG807" s="208"/>
      <c r="AH807" s="208"/>
      <c r="AI807" s="208"/>
      <c r="AJ807" s="208"/>
      <c r="AK807" s="208"/>
      <c r="AL807" s="208"/>
      <c r="AM807" s="208"/>
    </row>
    <row r="808" spans="1:39" ht="13.8" x14ac:dyDescent="0.25">
      <c r="A808" s="206"/>
      <c r="H808" s="207"/>
      <c r="J808" s="3"/>
      <c r="AG808" s="208"/>
      <c r="AH808" s="208"/>
      <c r="AI808" s="208"/>
      <c r="AJ808" s="208"/>
      <c r="AK808" s="208"/>
      <c r="AL808" s="208"/>
      <c r="AM808" s="208"/>
    </row>
    <row r="809" spans="1:39" ht="13.8" x14ac:dyDescent="0.25">
      <c r="A809" s="206"/>
      <c r="H809" s="207"/>
      <c r="J809" s="3"/>
      <c r="AG809" s="208"/>
      <c r="AH809" s="208"/>
      <c r="AI809" s="208"/>
      <c r="AJ809" s="208"/>
      <c r="AK809" s="208"/>
      <c r="AL809" s="208"/>
      <c r="AM809" s="208"/>
    </row>
    <row r="810" spans="1:39" ht="13.8" x14ac:dyDescent="0.25">
      <c r="A810" s="206"/>
      <c r="H810" s="207"/>
      <c r="J810" s="3"/>
      <c r="AG810" s="208"/>
      <c r="AH810" s="208"/>
      <c r="AI810" s="208"/>
      <c r="AJ810" s="208"/>
      <c r="AK810" s="208"/>
      <c r="AL810" s="208"/>
      <c r="AM810" s="208"/>
    </row>
    <row r="811" spans="1:39" ht="13.8" x14ac:dyDescent="0.25">
      <c r="A811" s="206"/>
      <c r="H811" s="207"/>
      <c r="J811" s="3"/>
      <c r="AG811" s="208"/>
      <c r="AH811" s="208"/>
      <c r="AI811" s="208"/>
      <c r="AJ811" s="208"/>
      <c r="AK811" s="208"/>
      <c r="AL811" s="208"/>
      <c r="AM811" s="208"/>
    </row>
    <row r="812" spans="1:39" ht="13.8" x14ac:dyDescent="0.25">
      <c r="A812" s="206"/>
      <c r="H812" s="207"/>
      <c r="J812" s="3"/>
      <c r="AG812" s="208"/>
      <c r="AH812" s="208"/>
      <c r="AI812" s="208"/>
      <c r="AJ812" s="208"/>
      <c r="AK812" s="208"/>
      <c r="AL812" s="208"/>
      <c r="AM812" s="208"/>
    </row>
    <row r="813" spans="1:39" ht="13.8" x14ac:dyDescent="0.25">
      <c r="A813" s="206"/>
      <c r="H813" s="207"/>
      <c r="J813" s="3"/>
      <c r="AG813" s="208"/>
      <c r="AH813" s="208"/>
      <c r="AI813" s="208"/>
      <c r="AJ813" s="208"/>
      <c r="AK813" s="208"/>
      <c r="AL813" s="208"/>
      <c r="AM813" s="208"/>
    </row>
    <row r="814" spans="1:39" ht="13.8" x14ac:dyDescent="0.25">
      <c r="A814" s="206"/>
      <c r="H814" s="207"/>
      <c r="J814" s="3"/>
      <c r="AG814" s="208"/>
      <c r="AH814" s="208"/>
      <c r="AI814" s="208"/>
      <c r="AJ814" s="208"/>
      <c r="AK814" s="208"/>
      <c r="AL814" s="208"/>
      <c r="AM814" s="208"/>
    </row>
    <row r="815" spans="1:39" ht="13.8" x14ac:dyDescent="0.25">
      <c r="A815" s="206"/>
      <c r="H815" s="207"/>
      <c r="J815" s="3"/>
      <c r="AG815" s="208"/>
      <c r="AH815" s="208"/>
      <c r="AI815" s="208"/>
      <c r="AJ815" s="208"/>
      <c r="AK815" s="208"/>
      <c r="AL815" s="208"/>
      <c r="AM815" s="208"/>
    </row>
    <row r="816" spans="1:39" ht="13.8" x14ac:dyDescent="0.25">
      <c r="A816" s="206"/>
      <c r="H816" s="207"/>
      <c r="J816" s="3"/>
      <c r="AG816" s="208"/>
      <c r="AH816" s="208"/>
      <c r="AI816" s="208"/>
      <c r="AJ816" s="208"/>
      <c r="AK816" s="208"/>
      <c r="AL816" s="208"/>
      <c r="AM816" s="208"/>
    </row>
    <row r="817" spans="1:39" ht="13.8" x14ac:dyDescent="0.25">
      <c r="A817" s="206"/>
      <c r="H817" s="207"/>
      <c r="J817" s="3"/>
      <c r="AG817" s="208"/>
      <c r="AH817" s="208"/>
      <c r="AI817" s="208"/>
      <c r="AJ817" s="208"/>
      <c r="AK817" s="208"/>
      <c r="AL817" s="208"/>
      <c r="AM817" s="208"/>
    </row>
    <row r="818" spans="1:39" ht="13.8" x14ac:dyDescent="0.25">
      <c r="A818" s="206"/>
      <c r="H818" s="207"/>
      <c r="J818" s="3"/>
      <c r="AG818" s="208"/>
      <c r="AH818" s="208"/>
      <c r="AI818" s="208"/>
      <c r="AJ818" s="208"/>
      <c r="AK818" s="208"/>
      <c r="AL818" s="208"/>
      <c r="AM818" s="208"/>
    </row>
    <row r="819" spans="1:39" ht="13.8" x14ac:dyDescent="0.25">
      <c r="A819" s="206"/>
      <c r="H819" s="207"/>
      <c r="J819" s="3"/>
      <c r="AG819" s="208"/>
      <c r="AH819" s="208"/>
      <c r="AI819" s="208"/>
      <c r="AJ819" s="208"/>
      <c r="AK819" s="208"/>
      <c r="AL819" s="208"/>
      <c r="AM819" s="208"/>
    </row>
    <row r="820" spans="1:39" ht="13.8" x14ac:dyDescent="0.25">
      <c r="A820" s="206"/>
      <c r="H820" s="207"/>
      <c r="J820" s="3"/>
      <c r="AG820" s="208"/>
      <c r="AH820" s="208"/>
      <c r="AI820" s="208"/>
      <c r="AJ820" s="208"/>
      <c r="AK820" s="208"/>
      <c r="AL820" s="208"/>
      <c r="AM820" s="208"/>
    </row>
    <row r="821" spans="1:39" ht="13.8" x14ac:dyDescent="0.25">
      <c r="A821" s="206"/>
      <c r="H821" s="207"/>
      <c r="J821" s="3"/>
      <c r="AG821" s="208"/>
      <c r="AH821" s="208"/>
      <c r="AI821" s="208"/>
      <c r="AJ821" s="208"/>
      <c r="AK821" s="208"/>
      <c r="AL821" s="208"/>
      <c r="AM821" s="208"/>
    </row>
    <row r="822" spans="1:39" ht="13.8" x14ac:dyDescent="0.25">
      <c r="A822" s="206"/>
      <c r="H822" s="207"/>
      <c r="J822" s="3"/>
      <c r="AG822" s="208"/>
      <c r="AH822" s="208"/>
      <c r="AI822" s="208"/>
      <c r="AJ822" s="208"/>
      <c r="AK822" s="208"/>
      <c r="AL822" s="208"/>
      <c r="AM822" s="208"/>
    </row>
    <row r="823" spans="1:39" ht="13.8" x14ac:dyDescent="0.25">
      <c r="A823" s="206"/>
      <c r="H823" s="207"/>
      <c r="J823" s="3"/>
      <c r="AG823" s="208"/>
      <c r="AH823" s="208"/>
      <c r="AI823" s="208"/>
      <c r="AJ823" s="208"/>
      <c r="AK823" s="208"/>
      <c r="AL823" s="208"/>
      <c r="AM823" s="208"/>
    </row>
    <row r="824" spans="1:39" ht="13.8" x14ac:dyDescent="0.25">
      <c r="A824" s="206"/>
      <c r="H824" s="207"/>
      <c r="J824" s="3"/>
      <c r="AG824" s="208"/>
      <c r="AH824" s="208"/>
      <c r="AI824" s="208"/>
      <c r="AJ824" s="208"/>
      <c r="AK824" s="208"/>
      <c r="AL824" s="208"/>
      <c r="AM824" s="208"/>
    </row>
    <row r="825" spans="1:39" ht="13.8" x14ac:dyDescent="0.25">
      <c r="A825" s="206"/>
      <c r="H825" s="207"/>
      <c r="J825" s="3"/>
      <c r="AG825" s="208"/>
      <c r="AH825" s="208"/>
      <c r="AI825" s="208"/>
      <c r="AJ825" s="208"/>
      <c r="AK825" s="208"/>
      <c r="AL825" s="208"/>
      <c r="AM825" s="208"/>
    </row>
    <row r="826" spans="1:39" ht="13.8" x14ac:dyDescent="0.25">
      <c r="A826" s="206"/>
      <c r="H826" s="207"/>
      <c r="J826" s="3"/>
      <c r="AG826" s="208"/>
      <c r="AH826" s="208"/>
      <c r="AI826" s="208"/>
      <c r="AJ826" s="208"/>
      <c r="AK826" s="208"/>
      <c r="AL826" s="208"/>
      <c r="AM826" s="208"/>
    </row>
    <row r="827" spans="1:39" ht="13.8" x14ac:dyDescent="0.25">
      <c r="A827" s="206"/>
      <c r="H827" s="207"/>
      <c r="J827" s="3"/>
      <c r="AG827" s="208"/>
      <c r="AH827" s="208"/>
      <c r="AI827" s="208"/>
      <c r="AJ827" s="208"/>
      <c r="AK827" s="208"/>
      <c r="AL827" s="208"/>
      <c r="AM827" s="208"/>
    </row>
    <row r="828" spans="1:39" ht="13.8" x14ac:dyDescent="0.25">
      <c r="A828" s="206"/>
      <c r="H828" s="207"/>
      <c r="J828" s="3"/>
      <c r="AG828" s="208"/>
      <c r="AH828" s="208"/>
      <c r="AI828" s="208"/>
      <c r="AJ828" s="208"/>
      <c r="AK828" s="208"/>
      <c r="AL828" s="208"/>
      <c r="AM828" s="208"/>
    </row>
    <row r="829" spans="1:39" ht="13.8" x14ac:dyDescent="0.25">
      <c r="A829" s="206"/>
      <c r="H829" s="207"/>
      <c r="J829" s="3"/>
      <c r="AG829" s="208"/>
      <c r="AH829" s="208"/>
      <c r="AI829" s="208"/>
      <c r="AJ829" s="208"/>
      <c r="AK829" s="208"/>
      <c r="AL829" s="208"/>
      <c r="AM829" s="208"/>
    </row>
    <row r="830" spans="1:39" ht="13.8" x14ac:dyDescent="0.25">
      <c r="A830" s="206"/>
      <c r="H830" s="207"/>
      <c r="J830" s="3"/>
      <c r="AG830" s="208"/>
      <c r="AH830" s="208"/>
      <c r="AI830" s="208"/>
      <c r="AJ830" s="208"/>
      <c r="AK830" s="208"/>
      <c r="AL830" s="208"/>
      <c r="AM830" s="208"/>
    </row>
    <row r="831" spans="1:39" ht="13.8" x14ac:dyDescent="0.25">
      <c r="A831" s="206"/>
      <c r="H831" s="207"/>
      <c r="J831" s="3"/>
      <c r="AG831" s="208"/>
      <c r="AH831" s="208"/>
      <c r="AI831" s="208"/>
      <c r="AJ831" s="208"/>
      <c r="AK831" s="208"/>
      <c r="AL831" s="208"/>
      <c r="AM831" s="208"/>
    </row>
    <row r="832" spans="1:39" ht="13.8" x14ac:dyDescent="0.25">
      <c r="A832" s="206"/>
      <c r="H832" s="207"/>
      <c r="J832" s="3"/>
      <c r="AG832" s="208"/>
      <c r="AH832" s="208"/>
      <c r="AI832" s="208"/>
      <c r="AJ832" s="208"/>
      <c r="AK832" s="208"/>
      <c r="AL832" s="208"/>
      <c r="AM832" s="208"/>
    </row>
    <row r="833" spans="1:39" ht="13.8" x14ac:dyDescent="0.25">
      <c r="A833" s="206"/>
      <c r="H833" s="207"/>
      <c r="J833" s="3"/>
      <c r="AG833" s="208"/>
      <c r="AH833" s="208"/>
      <c r="AI833" s="208"/>
      <c r="AJ833" s="208"/>
      <c r="AK833" s="208"/>
      <c r="AL833" s="208"/>
      <c r="AM833" s="208"/>
    </row>
    <row r="834" spans="1:39" ht="13.8" x14ac:dyDescent="0.25">
      <c r="A834" s="206"/>
      <c r="H834" s="207"/>
      <c r="J834" s="3"/>
      <c r="AG834" s="208"/>
      <c r="AH834" s="208"/>
      <c r="AI834" s="208"/>
      <c r="AJ834" s="208"/>
      <c r="AK834" s="208"/>
      <c r="AL834" s="208"/>
      <c r="AM834" s="208"/>
    </row>
    <row r="835" spans="1:39" ht="13.8" x14ac:dyDescent="0.25">
      <c r="A835" s="206"/>
      <c r="H835" s="207"/>
      <c r="J835" s="3"/>
      <c r="AG835" s="208"/>
      <c r="AH835" s="208"/>
      <c r="AI835" s="208"/>
      <c r="AJ835" s="208"/>
      <c r="AK835" s="208"/>
      <c r="AL835" s="208"/>
      <c r="AM835" s="208"/>
    </row>
    <row r="836" spans="1:39" ht="13.8" x14ac:dyDescent="0.25">
      <c r="A836" s="206"/>
      <c r="H836" s="207"/>
      <c r="J836" s="3"/>
      <c r="AG836" s="208"/>
      <c r="AH836" s="208"/>
      <c r="AI836" s="208"/>
      <c r="AJ836" s="208"/>
      <c r="AK836" s="208"/>
      <c r="AL836" s="208"/>
      <c r="AM836" s="208"/>
    </row>
    <row r="837" spans="1:39" ht="13.8" x14ac:dyDescent="0.25">
      <c r="A837" s="206"/>
      <c r="H837" s="207"/>
      <c r="J837" s="3"/>
      <c r="AG837" s="208"/>
      <c r="AH837" s="208"/>
      <c r="AI837" s="208"/>
      <c r="AJ837" s="208"/>
      <c r="AK837" s="208"/>
      <c r="AL837" s="208"/>
      <c r="AM837" s="208"/>
    </row>
    <row r="838" spans="1:39" ht="13.8" x14ac:dyDescent="0.25">
      <c r="A838" s="206"/>
      <c r="H838" s="207"/>
      <c r="J838" s="3"/>
      <c r="AG838" s="208"/>
      <c r="AH838" s="208"/>
      <c r="AI838" s="208"/>
      <c r="AJ838" s="208"/>
      <c r="AK838" s="208"/>
      <c r="AL838" s="208"/>
      <c r="AM838" s="208"/>
    </row>
    <row r="839" spans="1:39" ht="13.8" x14ac:dyDescent="0.25">
      <c r="A839" s="206"/>
      <c r="H839" s="207"/>
      <c r="J839" s="3"/>
      <c r="AG839" s="208"/>
      <c r="AH839" s="208"/>
      <c r="AI839" s="208"/>
      <c r="AJ839" s="208"/>
      <c r="AK839" s="208"/>
      <c r="AL839" s="208"/>
      <c r="AM839" s="208"/>
    </row>
    <row r="840" spans="1:39" ht="13.8" x14ac:dyDescent="0.25">
      <c r="A840" s="206"/>
      <c r="H840" s="207"/>
      <c r="J840" s="3"/>
      <c r="AG840" s="208"/>
      <c r="AH840" s="208"/>
      <c r="AI840" s="208"/>
      <c r="AJ840" s="208"/>
      <c r="AK840" s="208"/>
      <c r="AL840" s="208"/>
      <c r="AM840" s="208"/>
    </row>
    <row r="841" spans="1:39" ht="13.8" x14ac:dyDescent="0.25">
      <c r="A841" s="206"/>
      <c r="H841" s="207"/>
      <c r="J841" s="3"/>
      <c r="AG841" s="208"/>
      <c r="AH841" s="208"/>
      <c r="AI841" s="208"/>
      <c r="AJ841" s="208"/>
      <c r="AK841" s="208"/>
      <c r="AL841" s="208"/>
      <c r="AM841" s="208"/>
    </row>
    <row r="842" spans="1:39" ht="13.8" x14ac:dyDescent="0.25">
      <c r="A842" s="206"/>
      <c r="H842" s="207"/>
      <c r="J842" s="3"/>
      <c r="AG842" s="208"/>
      <c r="AH842" s="208"/>
      <c r="AI842" s="208"/>
      <c r="AJ842" s="208"/>
      <c r="AK842" s="208"/>
      <c r="AL842" s="208"/>
      <c r="AM842" s="208"/>
    </row>
    <row r="843" spans="1:39" ht="13.8" x14ac:dyDescent="0.25">
      <c r="A843" s="206"/>
      <c r="H843" s="207"/>
      <c r="J843" s="3"/>
      <c r="AG843" s="208"/>
      <c r="AH843" s="208"/>
      <c r="AI843" s="208"/>
      <c r="AJ843" s="208"/>
      <c r="AK843" s="208"/>
      <c r="AL843" s="208"/>
      <c r="AM843" s="208"/>
    </row>
    <row r="844" spans="1:39" ht="13.8" x14ac:dyDescent="0.25">
      <c r="A844" s="206"/>
      <c r="H844" s="207"/>
      <c r="J844" s="3"/>
      <c r="AG844" s="208"/>
      <c r="AH844" s="208"/>
      <c r="AI844" s="208"/>
      <c r="AJ844" s="208"/>
      <c r="AK844" s="208"/>
      <c r="AL844" s="208"/>
      <c r="AM844" s="208"/>
    </row>
    <row r="845" spans="1:39" ht="13.8" x14ac:dyDescent="0.25">
      <c r="A845" s="206"/>
      <c r="H845" s="207"/>
      <c r="J845" s="3"/>
      <c r="AG845" s="208"/>
      <c r="AH845" s="208"/>
      <c r="AI845" s="208"/>
      <c r="AJ845" s="208"/>
      <c r="AK845" s="208"/>
      <c r="AL845" s="208"/>
      <c r="AM845" s="208"/>
    </row>
    <row r="846" spans="1:39" ht="13.8" x14ac:dyDescent="0.25">
      <c r="A846" s="206"/>
      <c r="H846" s="207"/>
      <c r="J846" s="3"/>
      <c r="AG846" s="208"/>
      <c r="AH846" s="208"/>
      <c r="AI846" s="208"/>
      <c r="AJ846" s="208"/>
      <c r="AK846" s="208"/>
      <c r="AL846" s="208"/>
      <c r="AM846" s="208"/>
    </row>
    <row r="847" spans="1:39" ht="13.8" x14ac:dyDescent="0.25">
      <c r="A847" s="206"/>
      <c r="H847" s="207"/>
      <c r="J847" s="3"/>
      <c r="AG847" s="208"/>
      <c r="AH847" s="208"/>
      <c r="AI847" s="208"/>
      <c r="AJ847" s="208"/>
      <c r="AK847" s="208"/>
      <c r="AL847" s="208"/>
      <c r="AM847" s="208"/>
    </row>
    <row r="848" spans="1:39" ht="13.8" x14ac:dyDescent="0.25">
      <c r="A848" s="206"/>
      <c r="H848" s="207"/>
      <c r="J848" s="3"/>
      <c r="AG848" s="208"/>
      <c r="AH848" s="208"/>
      <c r="AI848" s="208"/>
      <c r="AJ848" s="208"/>
      <c r="AK848" s="208"/>
      <c r="AL848" s="208"/>
      <c r="AM848" s="208"/>
    </row>
    <row r="849" spans="1:39" ht="13.8" x14ac:dyDescent="0.25">
      <c r="A849" s="206"/>
      <c r="H849" s="207"/>
      <c r="J849" s="3"/>
      <c r="AG849" s="208"/>
      <c r="AH849" s="208"/>
      <c r="AI849" s="208"/>
      <c r="AJ849" s="208"/>
      <c r="AK849" s="208"/>
      <c r="AL849" s="208"/>
      <c r="AM849" s="208"/>
    </row>
    <row r="850" spans="1:39" ht="13.8" x14ac:dyDescent="0.25">
      <c r="A850" s="206"/>
      <c r="H850" s="207"/>
      <c r="J850" s="3"/>
      <c r="AG850" s="208"/>
      <c r="AH850" s="208"/>
      <c r="AI850" s="208"/>
      <c r="AJ850" s="208"/>
      <c r="AK850" s="208"/>
      <c r="AL850" s="208"/>
      <c r="AM850" s="208"/>
    </row>
    <row r="851" spans="1:39" ht="13.8" x14ac:dyDescent="0.25">
      <c r="A851" s="206"/>
      <c r="H851" s="207"/>
      <c r="J851" s="3"/>
      <c r="AG851" s="208"/>
      <c r="AH851" s="208"/>
      <c r="AI851" s="208"/>
      <c r="AJ851" s="208"/>
      <c r="AK851" s="208"/>
      <c r="AL851" s="208"/>
      <c r="AM851" s="208"/>
    </row>
    <row r="852" spans="1:39" ht="13.8" x14ac:dyDescent="0.25">
      <c r="A852" s="206"/>
      <c r="H852" s="207"/>
      <c r="J852" s="3"/>
      <c r="AG852" s="208"/>
      <c r="AH852" s="208"/>
      <c r="AI852" s="208"/>
      <c r="AJ852" s="208"/>
      <c r="AK852" s="208"/>
      <c r="AL852" s="208"/>
      <c r="AM852" s="208"/>
    </row>
    <row r="853" spans="1:39" ht="13.8" x14ac:dyDescent="0.25">
      <c r="A853" s="206"/>
      <c r="H853" s="207"/>
      <c r="J853" s="3"/>
      <c r="AG853" s="208"/>
      <c r="AH853" s="208"/>
      <c r="AI853" s="208"/>
      <c r="AJ853" s="208"/>
      <c r="AK853" s="208"/>
      <c r="AL853" s="208"/>
      <c r="AM853" s="208"/>
    </row>
    <row r="854" spans="1:39" ht="13.8" x14ac:dyDescent="0.25">
      <c r="A854" s="206"/>
      <c r="H854" s="207"/>
      <c r="J854" s="3"/>
      <c r="AG854" s="208"/>
      <c r="AH854" s="208"/>
      <c r="AI854" s="208"/>
      <c r="AJ854" s="208"/>
      <c r="AK854" s="208"/>
      <c r="AL854" s="208"/>
      <c r="AM854" s="208"/>
    </row>
    <row r="855" spans="1:39" ht="13.8" x14ac:dyDescent="0.25">
      <c r="A855" s="206"/>
      <c r="H855" s="207"/>
      <c r="J855" s="3"/>
      <c r="AG855" s="208"/>
      <c r="AH855" s="208"/>
      <c r="AI855" s="208"/>
      <c r="AJ855" s="208"/>
      <c r="AK855" s="208"/>
      <c r="AL855" s="208"/>
      <c r="AM855" s="208"/>
    </row>
    <row r="856" spans="1:39" ht="13.8" x14ac:dyDescent="0.25">
      <c r="A856" s="206"/>
      <c r="H856" s="207"/>
      <c r="J856" s="3"/>
      <c r="AG856" s="208"/>
      <c r="AH856" s="208"/>
      <c r="AI856" s="208"/>
      <c r="AJ856" s="208"/>
      <c r="AK856" s="208"/>
      <c r="AL856" s="208"/>
      <c r="AM856" s="208"/>
    </row>
    <row r="857" spans="1:39" ht="13.8" x14ac:dyDescent="0.25">
      <c r="A857" s="206"/>
      <c r="H857" s="207"/>
      <c r="J857" s="3"/>
      <c r="AG857" s="208"/>
      <c r="AH857" s="208"/>
      <c r="AI857" s="208"/>
      <c r="AJ857" s="208"/>
      <c r="AK857" s="208"/>
      <c r="AL857" s="208"/>
      <c r="AM857" s="208"/>
    </row>
    <row r="858" spans="1:39" ht="13.8" x14ac:dyDescent="0.25">
      <c r="A858" s="206"/>
      <c r="H858" s="207"/>
      <c r="J858" s="3"/>
      <c r="AG858" s="208"/>
      <c r="AH858" s="208"/>
      <c r="AI858" s="208"/>
      <c r="AJ858" s="208"/>
      <c r="AK858" s="208"/>
      <c r="AL858" s="208"/>
      <c r="AM858" s="208"/>
    </row>
    <row r="859" spans="1:39" ht="13.8" x14ac:dyDescent="0.25">
      <c r="A859" s="206"/>
      <c r="H859" s="207"/>
      <c r="J859" s="3"/>
      <c r="AG859" s="208"/>
      <c r="AH859" s="208"/>
      <c r="AI859" s="208"/>
      <c r="AJ859" s="208"/>
      <c r="AK859" s="208"/>
      <c r="AL859" s="208"/>
      <c r="AM859" s="208"/>
    </row>
    <row r="860" spans="1:39" ht="13.8" x14ac:dyDescent="0.25">
      <c r="A860" s="206"/>
      <c r="H860" s="207"/>
      <c r="J860" s="3"/>
      <c r="AG860" s="208"/>
      <c r="AH860" s="208"/>
      <c r="AI860" s="208"/>
      <c r="AJ860" s="208"/>
      <c r="AK860" s="208"/>
      <c r="AL860" s="208"/>
      <c r="AM860" s="208"/>
    </row>
    <row r="861" spans="1:39" ht="13.8" x14ac:dyDescent="0.25">
      <c r="A861" s="206"/>
      <c r="H861" s="207"/>
      <c r="J861" s="3"/>
      <c r="AG861" s="208"/>
      <c r="AH861" s="208"/>
      <c r="AI861" s="208"/>
      <c r="AJ861" s="208"/>
      <c r="AK861" s="208"/>
      <c r="AL861" s="208"/>
      <c r="AM861" s="208"/>
    </row>
    <row r="862" spans="1:39" ht="13.8" x14ac:dyDescent="0.25">
      <c r="A862" s="206"/>
      <c r="H862" s="207"/>
      <c r="J862" s="3"/>
      <c r="AG862" s="208"/>
      <c r="AH862" s="208"/>
      <c r="AI862" s="208"/>
      <c r="AJ862" s="208"/>
      <c r="AK862" s="208"/>
      <c r="AL862" s="208"/>
      <c r="AM862" s="208"/>
    </row>
    <row r="863" spans="1:39" ht="13.8" x14ac:dyDescent="0.25">
      <c r="A863" s="206"/>
      <c r="H863" s="207"/>
      <c r="J863" s="3"/>
      <c r="AG863" s="208"/>
      <c r="AH863" s="208"/>
      <c r="AI863" s="208"/>
      <c r="AJ863" s="208"/>
      <c r="AK863" s="208"/>
      <c r="AL863" s="208"/>
      <c r="AM863" s="208"/>
    </row>
    <row r="864" spans="1:39" ht="13.8" x14ac:dyDescent="0.25">
      <c r="A864" s="206"/>
      <c r="H864" s="207"/>
      <c r="J864" s="3"/>
      <c r="AG864" s="208"/>
      <c r="AH864" s="208"/>
      <c r="AI864" s="208"/>
      <c r="AJ864" s="208"/>
      <c r="AK864" s="208"/>
      <c r="AL864" s="208"/>
      <c r="AM864" s="208"/>
    </row>
    <row r="865" spans="1:39" ht="13.8" x14ac:dyDescent="0.25">
      <c r="A865" s="206"/>
      <c r="H865" s="207"/>
      <c r="J865" s="3"/>
      <c r="AG865" s="208"/>
      <c r="AH865" s="208"/>
      <c r="AI865" s="208"/>
      <c r="AJ865" s="208"/>
      <c r="AK865" s="208"/>
      <c r="AL865" s="208"/>
      <c r="AM865" s="208"/>
    </row>
    <row r="866" spans="1:39" ht="13.8" x14ac:dyDescent="0.25">
      <c r="A866" s="206"/>
      <c r="H866" s="207"/>
      <c r="J866" s="3"/>
      <c r="AG866" s="208"/>
      <c r="AH866" s="208"/>
      <c r="AI866" s="208"/>
      <c r="AJ866" s="208"/>
      <c r="AK866" s="208"/>
      <c r="AL866" s="208"/>
      <c r="AM866" s="208"/>
    </row>
    <row r="867" spans="1:39" ht="13.8" x14ac:dyDescent="0.25">
      <c r="A867" s="206"/>
      <c r="H867" s="207"/>
      <c r="J867" s="3"/>
      <c r="AG867" s="208"/>
      <c r="AH867" s="208"/>
      <c r="AI867" s="208"/>
      <c r="AJ867" s="208"/>
      <c r="AK867" s="208"/>
      <c r="AL867" s="208"/>
      <c r="AM867" s="208"/>
    </row>
    <row r="868" spans="1:39" ht="13.8" x14ac:dyDescent="0.25">
      <c r="A868" s="206"/>
      <c r="H868" s="207"/>
      <c r="J868" s="3"/>
      <c r="AG868" s="208"/>
      <c r="AH868" s="208"/>
      <c r="AI868" s="208"/>
      <c r="AJ868" s="208"/>
      <c r="AK868" s="208"/>
      <c r="AL868" s="208"/>
      <c r="AM868" s="208"/>
    </row>
    <row r="869" spans="1:39" ht="13.8" x14ac:dyDescent="0.25">
      <c r="A869" s="206"/>
      <c r="H869" s="207"/>
      <c r="J869" s="3"/>
      <c r="AG869" s="208"/>
      <c r="AH869" s="208"/>
      <c r="AI869" s="208"/>
      <c r="AJ869" s="208"/>
      <c r="AK869" s="208"/>
      <c r="AL869" s="208"/>
      <c r="AM869" s="208"/>
    </row>
    <row r="870" spans="1:39" ht="13.8" x14ac:dyDescent="0.25">
      <c r="A870" s="206"/>
      <c r="H870" s="207"/>
      <c r="J870" s="3"/>
      <c r="AG870" s="208"/>
      <c r="AH870" s="208"/>
      <c r="AI870" s="208"/>
      <c r="AJ870" s="208"/>
      <c r="AK870" s="208"/>
      <c r="AL870" s="208"/>
      <c r="AM870" s="208"/>
    </row>
    <row r="871" spans="1:39" ht="13.8" x14ac:dyDescent="0.25">
      <c r="A871" s="206"/>
      <c r="H871" s="207"/>
      <c r="J871" s="3"/>
      <c r="AG871" s="208"/>
      <c r="AH871" s="208"/>
      <c r="AI871" s="208"/>
      <c r="AJ871" s="208"/>
      <c r="AK871" s="208"/>
      <c r="AL871" s="208"/>
      <c r="AM871" s="208"/>
    </row>
    <row r="872" spans="1:39" ht="13.8" x14ac:dyDescent="0.25">
      <c r="A872" s="206"/>
      <c r="H872" s="207"/>
      <c r="J872" s="3"/>
      <c r="AG872" s="208"/>
      <c r="AH872" s="208"/>
      <c r="AI872" s="208"/>
      <c r="AJ872" s="208"/>
      <c r="AK872" s="208"/>
      <c r="AL872" s="208"/>
      <c r="AM872" s="208"/>
    </row>
    <row r="873" spans="1:39" ht="13.8" x14ac:dyDescent="0.25">
      <c r="A873" s="206"/>
      <c r="H873" s="207"/>
      <c r="J873" s="3"/>
      <c r="AG873" s="208"/>
      <c r="AH873" s="208"/>
      <c r="AI873" s="208"/>
      <c r="AJ873" s="208"/>
      <c r="AK873" s="208"/>
      <c r="AL873" s="208"/>
      <c r="AM873" s="208"/>
    </row>
    <row r="874" spans="1:39" ht="13.8" x14ac:dyDescent="0.25">
      <c r="A874" s="206"/>
      <c r="H874" s="207"/>
      <c r="J874" s="3"/>
      <c r="AG874" s="208"/>
      <c r="AH874" s="208"/>
      <c r="AI874" s="208"/>
      <c r="AJ874" s="208"/>
      <c r="AK874" s="208"/>
      <c r="AL874" s="208"/>
      <c r="AM874" s="208"/>
    </row>
    <row r="875" spans="1:39" ht="13.8" x14ac:dyDescent="0.25">
      <c r="A875" s="206"/>
      <c r="H875" s="207"/>
      <c r="J875" s="3"/>
      <c r="AG875" s="208"/>
      <c r="AH875" s="208"/>
      <c r="AI875" s="208"/>
      <c r="AJ875" s="208"/>
      <c r="AK875" s="208"/>
      <c r="AL875" s="208"/>
      <c r="AM875" s="208"/>
    </row>
    <row r="876" spans="1:39" ht="13.8" x14ac:dyDescent="0.25">
      <c r="A876" s="206"/>
      <c r="H876" s="207"/>
      <c r="J876" s="3"/>
      <c r="AG876" s="208"/>
      <c r="AH876" s="208"/>
      <c r="AI876" s="208"/>
      <c r="AJ876" s="208"/>
      <c r="AK876" s="208"/>
      <c r="AL876" s="208"/>
      <c r="AM876" s="208"/>
    </row>
    <row r="877" spans="1:39" ht="13.8" x14ac:dyDescent="0.25">
      <c r="A877" s="206"/>
      <c r="H877" s="207"/>
      <c r="J877" s="3"/>
      <c r="AG877" s="208"/>
      <c r="AH877" s="208"/>
      <c r="AI877" s="208"/>
      <c r="AJ877" s="208"/>
      <c r="AK877" s="208"/>
      <c r="AL877" s="208"/>
      <c r="AM877" s="208"/>
    </row>
    <row r="878" spans="1:39" ht="13.8" x14ac:dyDescent="0.25">
      <c r="A878" s="206"/>
      <c r="H878" s="207"/>
      <c r="J878" s="3"/>
      <c r="AG878" s="208"/>
      <c r="AH878" s="208"/>
      <c r="AI878" s="208"/>
      <c r="AJ878" s="208"/>
      <c r="AK878" s="208"/>
      <c r="AL878" s="208"/>
      <c r="AM878" s="208"/>
    </row>
    <row r="879" spans="1:39" ht="13.8" x14ac:dyDescent="0.25">
      <c r="A879" s="206"/>
      <c r="H879" s="207"/>
      <c r="J879" s="3"/>
      <c r="AG879" s="208"/>
      <c r="AH879" s="208"/>
      <c r="AI879" s="208"/>
      <c r="AJ879" s="208"/>
      <c r="AK879" s="208"/>
      <c r="AL879" s="208"/>
      <c r="AM879" s="208"/>
    </row>
    <row r="880" spans="1:39" ht="13.8" x14ac:dyDescent="0.25">
      <c r="A880" s="206"/>
      <c r="H880" s="207"/>
      <c r="J880" s="3"/>
      <c r="AG880" s="208"/>
      <c r="AH880" s="208"/>
      <c r="AI880" s="208"/>
      <c r="AJ880" s="208"/>
      <c r="AK880" s="208"/>
      <c r="AL880" s="208"/>
      <c r="AM880" s="208"/>
    </row>
    <row r="881" spans="1:39" ht="13.8" x14ac:dyDescent="0.25">
      <c r="A881" s="206"/>
      <c r="H881" s="207"/>
      <c r="J881" s="3"/>
      <c r="AG881" s="208"/>
      <c r="AH881" s="208"/>
      <c r="AI881" s="208"/>
      <c r="AJ881" s="208"/>
      <c r="AK881" s="208"/>
      <c r="AL881" s="208"/>
      <c r="AM881" s="208"/>
    </row>
    <row r="882" spans="1:39" ht="13.8" x14ac:dyDescent="0.25">
      <c r="A882" s="206"/>
      <c r="H882" s="207"/>
      <c r="J882" s="3"/>
      <c r="AG882" s="208"/>
      <c r="AH882" s="208"/>
      <c r="AI882" s="208"/>
      <c r="AJ882" s="208"/>
      <c r="AK882" s="208"/>
      <c r="AL882" s="208"/>
      <c r="AM882" s="208"/>
    </row>
    <row r="883" spans="1:39" ht="13.8" x14ac:dyDescent="0.25">
      <c r="A883" s="206"/>
      <c r="H883" s="207"/>
      <c r="J883" s="3"/>
      <c r="AG883" s="208"/>
      <c r="AH883" s="208"/>
      <c r="AI883" s="208"/>
      <c r="AJ883" s="208"/>
      <c r="AK883" s="208"/>
      <c r="AL883" s="208"/>
      <c r="AM883" s="208"/>
    </row>
    <row r="884" spans="1:39" ht="13.8" x14ac:dyDescent="0.25">
      <c r="A884" s="206"/>
      <c r="H884" s="207"/>
      <c r="J884" s="3"/>
      <c r="AG884" s="208"/>
      <c r="AH884" s="208"/>
      <c r="AI884" s="208"/>
      <c r="AJ884" s="208"/>
      <c r="AK884" s="208"/>
      <c r="AL884" s="208"/>
      <c r="AM884" s="208"/>
    </row>
    <row r="885" spans="1:39" ht="13.8" x14ac:dyDescent="0.25">
      <c r="A885" s="206"/>
      <c r="H885" s="207"/>
      <c r="J885" s="3"/>
      <c r="AG885" s="208"/>
      <c r="AH885" s="208"/>
      <c r="AI885" s="208"/>
      <c r="AJ885" s="208"/>
      <c r="AK885" s="208"/>
      <c r="AL885" s="208"/>
      <c r="AM885" s="208"/>
    </row>
    <row r="886" spans="1:39" ht="13.8" x14ac:dyDescent="0.25">
      <c r="A886" s="206"/>
      <c r="H886" s="207"/>
      <c r="J886" s="3"/>
      <c r="AG886" s="208"/>
      <c r="AH886" s="208"/>
      <c r="AI886" s="208"/>
      <c r="AJ886" s="208"/>
      <c r="AK886" s="208"/>
      <c r="AL886" s="208"/>
      <c r="AM886" s="208"/>
    </row>
    <row r="887" spans="1:39" ht="13.8" x14ac:dyDescent="0.25">
      <c r="A887" s="206"/>
      <c r="H887" s="207"/>
      <c r="J887" s="3"/>
      <c r="AG887" s="208"/>
      <c r="AH887" s="208"/>
      <c r="AI887" s="208"/>
      <c r="AJ887" s="208"/>
      <c r="AK887" s="208"/>
      <c r="AL887" s="208"/>
      <c r="AM887" s="208"/>
    </row>
    <row r="888" spans="1:39" ht="13.8" x14ac:dyDescent="0.25">
      <c r="A888" s="206"/>
      <c r="H888" s="207"/>
      <c r="J888" s="3"/>
      <c r="AG888" s="208"/>
      <c r="AH888" s="208"/>
      <c r="AI888" s="208"/>
      <c r="AJ888" s="208"/>
      <c r="AK888" s="208"/>
      <c r="AL888" s="208"/>
      <c r="AM888" s="208"/>
    </row>
    <row r="889" spans="1:39" ht="13.8" x14ac:dyDescent="0.25">
      <c r="A889" s="206"/>
      <c r="H889" s="207"/>
      <c r="J889" s="3"/>
      <c r="AG889" s="208"/>
      <c r="AH889" s="208"/>
      <c r="AI889" s="208"/>
      <c r="AJ889" s="208"/>
      <c r="AK889" s="208"/>
      <c r="AL889" s="208"/>
      <c r="AM889" s="208"/>
    </row>
    <row r="890" spans="1:39" ht="13.8" x14ac:dyDescent="0.25">
      <c r="A890" s="206"/>
      <c r="H890" s="207"/>
      <c r="J890" s="3"/>
      <c r="AG890" s="208"/>
      <c r="AH890" s="208"/>
      <c r="AI890" s="208"/>
      <c r="AJ890" s="208"/>
      <c r="AK890" s="208"/>
      <c r="AL890" s="208"/>
      <c r="AM890" s="208"/>
    </row>
    <row r="891" spans="1:39" ht="13.8" x14ac:dyDescent="0.25">
      <c r="A891" s="206"/>
      <c r="H891" s="207"/>
      <c r="J891" s="3"/>
      <c r="AG891" s="208"/>
      <c r="AH891" s="208"/>
      <c r="AI891" s="208"/>
      <c r="AJ891" s="208"/>
      <c r="AK891" s="208"/>
      <c r="AL891" s="208"/>
      <c r="AM891" s="208"/>
    </row>
    <row r="892" spans="1:39" ht="13.8" x14ac:dyDescent="0.25">
      <c r="A892" s="206"/>
      <c r="H892" s="207"/>
      <c r="J892" s="3"/>
      <c r="AG892" s="208"/>
      <c r="AH892" s="208"/>
      <c r="AI892" s="208"/>
      <c r="AJ892" s="208"/>
      <c r="AK892" s="208"/>
      <c r="AL892" s="208"/>
      <c r="AM892" s="208"/>
    </row>
    <row r="893" spans="1:39" ht="13.8" x14ac:dyDescent="0.25">
      <c r="A893" s="206"/>
      <c r="H893" s="207"/>
      <c r="J893" s="3"/>
      <c r="AG893" s="208"/>
      <c r="AH893" s="208"/>
      <c r="AI893" s="208"/>
      <c r="AJ893" s="208"/>
      <c r="AK893" s="208"/>
      <c r="AL893" s="208"/>
      <c r="AM893" s="208"/>
    </row>
    <row r="894" spans="1:39" ht="13.8" x14ac:dyDescent="0.25">
      <c r="A894" s="206"/>
      <c r="H894" s="207"/>
      <c r="J894" s="3"/>
      <c r="AG894" s="208"/>
      <c r="AH894" s="208"/>
      <c r="AI894" s="208"/>
      <c r="AJ894" s="208"/>
      <c r="AK894" s="208"/>
      <c r="AL894" s="208"/>
      <c r="AM894" s="208"/>
    </row>
    <row r="895" spans="1:39" ht="13.8" x14ac:dyDescent="0.25">
      <c r="A895" s="206"/>
      <c r="H895" s="207"/>
      <c r="J895" s="3"/>
      <c r="AG895" s="208"/>
      <c r="AH895" s="208"/>
      <c r="AI895" s="208"/>
      <c r="AJ895" s="208"/>
      <c r="AK895" s="208"/>
      <c r="AL895" s="208"/>
      <c r="AM895" s="208"/>
    </row>
    <row r="896" spans="1:39" ht="13.8" x14ac:dyDescent="0.25">
      <c r="A896" s="206"/>
      <c r="H896" s="207"/>
      <c r="J896" s="3"/>
      <c r="AG896" s="208"/>
      <c r="AH896" s="208"/>
      <c r="AI896" s="208"/>
      <c r="AJ896" s="208"/>
      <c r="AK896" s="208"/>
      <c r="AL896" s="208"/>
      <c r="AM896" s="208"/>
    </row>
    <row r="897" spans="1:39" ht="13.8" x14ac:dyDescent="0.25">
      <c r="A897" s="206"/>
      <c r="H897" s="207"/>
      <c r="J897" s="3"/>
      <c r="AG897" s="208"/>
      <c r="AH897" s="208"/>
      <c r="AI897" s="208"/>
      <c r="AJ897" s="208"/>
      <c r="AK897" s="208"/>
      <c r="AL897" s="208"/>
      <c r="AM897" s="208"/>
    </row>
    <row r="898" spans="1:39" ht="13.8" x14ac:dyDescent="0.25">
      <c r="A898" s="206"/>
      <c r="H898" s="207"/>
      <c r="J898" s="3"/>
      <c r="AG898" s="208"/>
      <c r="AH898" s="208"/>
      <c r="AI898" s="208"/>
      <c r="AJ898" s="208"/>
      <c r="AK898" s="208"/>
      <c r="AL898" s="208"/>
      <c r="AM898" s="208"/>
    </row>
    <row r="899" spans="1:39" ht="13.8" x14ac:dyDescent="0.25">
      <c r="A899" s="206"/>
      <c r="H899" s="207"/>
      <c r="J899" s="3"/>
      <c r="AG899" s="208"/>
      <c r="AH899" s="208"/>
      <c r="AI899" s="208"/>
      <c r="AJ899" s="208"/>
      <c r="AK899" s="208"/>
      <c r="AL899" s="208"/>
      <c r="AM899" s="208"/>
    </row>
    <row r="900" spans="1:39" ht="13.8" x14ac:dyDescent="0.25">
      <c r="A900" s="206"/>
      <c r="H900" s="207"/>
      <c r="J900" s="3"/>
      <c r="AG900" s="208"/>
      <c r="AH900" s="208"/>
      <c r="AI900" s="208"/>
      <c r="AJ900" s="208"/>
      <c r="AK900" s="208"/>
      <c r="AL900" s="208"/>
      <c r="AM900" s="208"/>
    </row>
    <row r="901" spans="1:39" ht="13.8" x14ac:dyDescent="0.25">
      <c r="A901" s="206"/>
      <c r="H901" s="207"/>
      <c r="J901" s="3"/>
      <c r="AG901" s="208"/>
      <c r="AH901" s="208"/>
      <c r="AI901" s="208"/>
      <c r="AJ901" s="208"/>
      <c r="AK901" s="208"/>
      <c r="AL901" s="208"/>
      <c r="AM901" s="208"/>
    </row>
    <row r="902" spans="1:39" ht="13.8" x14ac:dyDescent="0.25">
      <c r="A902" s="206"/>
      <c r="H902" s="207"/>
      <c r="J902" s="3"/>
      <c r="AG902" s="208"/>
      <c r="AH902" s="208"/>
      <c r="AI902" s="208"/>
      <c r="AJ902" s="208"/>
      <c r="AK902" s="208"/>
      <c r="AL902" s="208"/>
      <c r="AM902" s="208"/>
    </row>
    <row r="903" spans="1:39" ht="13.8" x14ac:dyDescent="0.25">
      <c r="A903" s="206"/>
      <c r="H903" s="207"/>
      <c r="J903" s="3"/>
      <c r="AG903" s="208"/>
      <c r="AH903" s="208"/>
      <c r="AI903" s="208"/>
      <c r="AJ903" s="208"/>
      <c r="AK903" s="208"/>
      <c r="AL903" s="208"/>
      <c r="AM903" s="208"/>
    </row>
    <row r="904" spans="1:39" ht="13.8" x14ac:dyDescent="0.25">
      <c r="A904" s="206"/>
      <c r="H904" s="207"/>
      <c r="J904" s="3"/>
      <c r="AG904" s="208"/>
      <c r="AH904" s="208"/>
      <c r="AI904" s="208"/>
      <c r="AJ904" s="208"/>
      <c r="AK904" s="208"/>
      <c r="AL904" s="208"/>
      <c r="AM904" s="208"/>
    </row>
    <row r="905" spans="1:39" ht="13.8" x14ac:dyDescent="0.25">
      <c r="A905" s="206"/>
      <c r="H905" s="207"/>
      <c r="J905" s="3"/>
      <c r="AG905" s="208"/>
      <c r="AH905" s="208"/>
      <c r="AI905" s="208"/>
      <c r="AJ905" s="208"/>
      <c r="AK905" s="208"/>
      <c r="AL905" s="208"/>
      <c r="AM905" s="208"/>
    </row>
    <row r="906" spans="1:39" ht="13.8" x14ac:dyDescent="0.25">
      <c r="A906" s="206"/>
      <c r="H906" s="207"/>
      <c r="J906" s="3"/>
      <c r="AG906" s="208"/>
      <c r="AH906" s="208"/>
      <c r="AI906" s="208"/>
      <c r="AJ906" s="208"/>
      <c r="AK906" s="208"/>
      <c r="AL906" s="208"/>
      <c r="AM906" s="208"/>
    </row>
    <row r="907" spans="1:39" ht="13.8" x14ac:dyDescent="0.25">
      <c r="A907" s="206"/>
      <c r="H907" s="207"/>
      <c r="J907" s="3"/>
      <c r="AG907" s="208"/>
      <c r="AH907" s="208"/>
      <c r="AI907" s="208"/>
      <c r="AJ907" s="208"/>
      <c r="AK907" s="208"/>
      <c r="AL907" s="208"/>
      <c r="AM907" s="208"/>
    </row>
    <row r="908" spans="1:39" ht="13.8" x14ac:dyDescent="0.25">
      <c r="A908" s="206"/>
      <c r="H908" s="207"/>
      <c r="J908" s="3"/>
      <c r="AG908" s="208"/>
      <c r="AH908" s="208"/>
      <c r="AI908" s="208"/>
      <c r="AJ908" s="208"/>
      <c r="AK908" s="208"/>
      <c r="AL908" s="208"/>
      <c r="AM908" s="208"/>
    </row>
    <row r="909" spans="1:39" ht="13.8" x14ac:dyDescent="0.25">
      <c r="A909" s="206"/>
      <c r="H909" s="207"/>
      <c r="J909" s="3"/>
      <c r="AG909" s="208"/>
      <c r="AH909" s="208"/>
      <c r="AI909" s="208"/>
      <c r="AJ909" s="208"/>
      <c r="AK909" s="208"/>
      <c r="AL909" s="208"/>
      <c r="AM909" s="208"/>
    </row>
    <row r="910" spans="1:39" ht="13.8" x14ac:dyDescent="0.25">
      <c r="A910" s="206"/>
      <c r="H910" s="207"/>
      <c r="J910" s="3"/>
      <c r="AG910" s="208"/>
      <c r="AH910" s="208"/>
      <c r="AI910" s="208"/>
      <c r="AJ910" s="208"/>
      <c r="AK910" s="208"/>
      <c r="AL910" s="208"/>
      <c r="AM910" s="208"/>
    </row>
    <row r="911" spans="1:39" ht="13.8" x14ac:dyDescent="0.25">
      <c r="A911" s="206"/>
      <c r="H911" s="207"/>
      <c r="J911" s="3"/>
      <c r="AG911" s="208"/>
      <c r="AH911" s="208"/>
      <c r="AI911" s="208"/>
      <c r="AJ911" s="208"/>
      <c r="AK911" s="208"/>
      <c r="AL911" s="208"/>
      <c r="AM911" s="208"/>
    </row>
    <row r="912" spans="1:39" ht="13.8" x14ac:dyDescent="0.25">
      <c r="A912" s="206"/>
      <c r="H912" s="207"/>
      <c r="J912" s="3"/>
      <c r="AG912" s="208"/>
      <c r="AH912" s="208"/>
      <c r="AI912" s="208"/>
      <c r="AJ912" s="208"/>
      <c r="AK912" s="208"/>
      <c r="AL912" s="208"/>
      <c r="AM912" s="208"/>
    </row>
    <row r="913" spans="1:39" ht="13.8" x14ac:dyDescent="0.25">
      <c r="A913" s="206"/>
      <c r="H913" s="207"/>
      <c r="J913" s="3"/>
      <c r="AG913" s="208"/>
      <c r="AH913" s="208"/>
      <c r="AI913" s="208"/>
      <c r="AJ913" s="208"/>
      <c r="AK913" s="208"/>
      <c r="AL913" s="208"/>
      <c r="AM913" s="208"/>
    </row>
    <row r="914" spans="1:39" ht="13.8" x14ac:dyDescent="0.25">
      <c r="A914" s="206"/>
      <c r="H914" s="207"/>
      <c r="J914" s="3"/>
      <c r="AG914" s="208"/>
      <c r="AH914" s="208"/>
      <c r="AI914" s="208"/>
      <c r="AJ914" s="208"/>
      <c r="AK914" s="208"/>
      <c r="AL914" s="208"/>
      <c r="AM914" s="208"/>
    </row>
    <row r="915" spans="1:39" ht="13.8" x14ac:dyDescent="0.25">
      <c r="A915" s="206"/>
      <c r="H915" s="207"/>
      <c r="J915" s="3"/>
      <c r="AG915" s="208"/>
      <c r="AH915" s="208"/>
      <c r="AI915" s="208"/>
      <c r="AJ915" s="208"/>
      <c r="AK915" s="208"/>
      <c r="AL915" s="208"/>
      <c r="AM915" s="208"/>
    </row>
    <row r="916" spans="1:39" ht="13.8" x14ac:dyDescent="0.25">
      <c r="A916" s="206"/>
      <c r="H916" s="207"/>
      <c r="J916" s="3"/>
      <c r="AG916" s="208"/>
      <c r="AH916" s="208"/>
      <c r="AI916" s="208"/>
      <c r="AJ916" s="208"/>
      <c r="AK916" s="208"/>
      <c r="AL916" s="208"/>
      <c r="AM916" s="208"/>
    </row>
    <row r="917" spans="1:39" ht="13.8" x14ac:dyDescent="0.25">
      <c r="A917" s="206"/>
      <c r="H917" s="207"/>
      <c r="J917" s="3"/>
      <c r="AG917" s="208"/>
      <c r="AH917" s="208"/>
      <c r="AI917" s="208"/>
      <c r="AJ917" s="208"/>
      <c r="AK917" s="208"/>
      <c r="AL917" s="208"/>
      <c r="AM917" s="208"/>
    </row>
    <row r="918" spans="1:39" ht="13.8" x14ac:dyDescent="0.25">
      <c r="A918" s="206"/>
      <c r="H918" s="207"/>
      <c r="J918" s="3"/>
      <c r="AG918" s="208"/>
      <c r="AH918" s="208"/>
      <c r="AI918" s="208"/>
      <c r="AJ918" s="208"/>
      <c r="AK918" s="208"/>
      <c r="AL918" s="208"/>
      <c r="AM918" s="208"/>
    </row>
    <row r="919" spans="1:39" ht="13.8" x14ac:dyDescent="0.25">
      <c r="A919" s="206"/>
      <c r="H919" s="207"/>
      <c r="J919" s="3"/>
      <c r="AG919" s="208"/>
      <c r="AH919" s="208"/>
      <c r="AI919" s="208"/>
      <c r="AJ919" s="208"/>
      <c r="AK919" s="208"/>
      <c r="AL919" s="208"/>
      <c r="AM919" s="208"/>
    </row>
    <row r="920" spans="1:39" ht="13.8" x14ac:dyDescent="0.25">
      <c r="A920" s="206"/>
      <c r="H920" s="207"/>
      <c r="J920" s="3"/>
      <c r="AG920" s="208"/>
      <c r="AH920" s="208"/>
      <c r="AI920" s="208"/>
      <c r="AJ920" s="208"/>
      <c r="AK920" s="208"/>
      <c r="AL920" s="208"/>
      <c r="AM920" s="208"/>
    </row>
    <row r="921" spans="1:39" ht="13.8" x14ac:dyDescent="0.25">
      <c r="A921" s="206"/>
      <c r="H921" s="207"/>
      <c r="J921" s="3"/>
      <c r="AG921" s="208"/>
      <c r="AH921" s="208"/>
      <c r="AI921" s="208"/>
      <c r="AJ921" s="208"/>
      <c r="AK921" s="208"/>
      <c r="AL921" s="208"/>
      <c r="AM921" s="208"/>
    </row>
    <row r="922" spans="1:39" ht="13.8" x14ac:dyDescent="0.25">
      <c r="A922" s="206"/>
      <c r="H922" s="207"/>
      <c r="J922" s="3"/>
      <c r="AG922" s="208"/>
      <c r="AH922" s="208"/>
      <c r="AI922" s="208"/>
      <c r="AJ922" s="208"/>
      <c r="AK922" s="208"/>
      <c r="AL922" s="208"/>
      <c r="AM922" s="208"/>
    </row>
    <row r="923" spans="1:39" ht="13.8" x14ac:dyDescent="0.25">
      <c r="A923" s="206"/>
      <c r="H923" s="207"/>
      <c r="J923" s="3"/>
      <c r="AG923" s="208"/>
      <c r="AH923" s="208"/>
      <c r="AI923" s="208"/>
      <c r="AJ923" s="208"/>
      <c r="AK923" s="208"/>
      <c r="AL923" s="208"/>
      <c r="AM923" s="208"/>
    </row>
    <row r="924" spans="1:39" ht="13.8" x14ac:dyDescent="0.25">
      <c r="A924" s="206"/>
      <c r="H924" s="207"/>
      <c r="J924" s="3"/>
      <c r="AG924" s="208"/>
      <c r="AH924" s="208"/>
      <c r="AI924" s="208"/>
      <c r="AJ924" s="208"/>
      <c r="AK924" s="208"/>
      <c r="AL924" s="208"/>
      <c r="AM924" s="208"/>
    </row>
    <row r="925" spans="1:39" ht="13.8" x14ac:dyDescent="0.25">
      <c r="A925" s="206"/>
      <c r="H925" s="207"/>
      <c r="J925" s="3"/>
      <c r="AG925" s="208"/>
      <c r="AH925" s="208"/>
      <c r="AI925" s="208"/>
      <c r="AJ925" s="208"/>
      <c r="AK925" s="208"/>
      <c r="AL925" s="208"/>
      <c r="AM925" s="208"/>
    </row>
    <row r="926" spans="1:39" ht="13.8" x14ac:dyDescent="0.25">
      <c r="A926" s="206"/>
      <c r="H926" s="207"/>
      <c r="J926" s="3"/>
      <c r="AG926" s="208"/>
      <c r="AH926" s="208"/>
      <c r="AI926" s="208"/>
      <c r="AJ926" s="208"/>
      <c r="AK926" s="208"/>
      <c r="AL926" s="208"/>
      <c r="AM926" s="208"/>
    </row>
    <row r="927" spans="1:39" ht="13.8" x14ac:dyDescent="0.25">
      <c r="A927" s="206"/>
      <c r="H927" s="207"/>
      <c r="J927" s="3"/>
      <c r="AG927" s="208"/>
      <c r="AH927" s="208"/>
      <c r="AI927" s="208"/>
      <c r="AJ927" s="208"/>
      <c r="AK927" s="208"/>
      <c r="AL927" s="208"/>
      <c r="AM927" s="208"/>
    </row>
    <row r="928" spans="1:39" ht="13.8" x14ac:dyDescent="0.25">
      <c r="A928" s="206"/>
      <c r="H928" s="207"/>
      <c r="J928" s="3"/>
      <c r="AG928" s="208"/>
      <c r="AH928" s="208"/>
      <c r="AI928" s="208"/>
      <c r="AJ928" s="208"/>
      <c r="AK928" s="208"/>
      <c r="AL928" s="208"/>
      <c r="AM928" s="208"/>
    </row>
    <row r="929" spans="1:39" ht="13.8" x14ac:dyDescent="0.25">
      <c r="A929" s="206"/>
      <c r="H929" s="207"/>
      <c r="J929" s="3"/>
      <c r="AG929" s="208"/>
      <c r="AH929" s="208"/>
      <c r="AI929" s="208"/>
      <c r="AJ929" s="208"/>
      <c r="AK929" s="208"/>
      <c r="AL929" s="208"/>
      <c r="AM929" s="208"/>
    </row>
    <row r="930" spans="1:39" ht="13.8" x14ac:dyDescent="0.25">
      <c r="A930" s="206"/>
      <c r="H930" s="207"/>
      <c r="J930" s="3"/>
      <c r="AG930" s="208"/>
      <c r="AH930" s="208"/>
      <c r="AI930" s="208"/>
      <c r="AJ930" s="208"/>
      <c r="AK930" s="208"/>
      <c r="AL930" s="208"/>
      <c r="AM930" s="208"/>
    </row>
    <row r="931" spans="1:39" ht="13.8" x14ac:dyDescent="0.25">
      <c r="A931" s="206"/>
      <c r="H931" s="207"/>
      <c r="J931" s="3"/>
      <c r="AG931" s="208"/>
      <c r="AH931" s="208"/>
      <c r="AI931" s="208"/>
      <c r="AJ931" s="208"/>
      <c r="AK931" s="208"/>
      <c r="AL931" s="208"/>
      <c r="AM931" s="208"/>
    </row>
    <row r="932" spans="1:39" ht="13.8" x14ac:dyDescent="0.25">
      <c r="A932" s="206"/>
      <c r="H932" s="207"/>
      <c r="J932" s="3"/>
      <c r="AG932" s="208"/>
      <c r="AH932" s="208"/>
      <c r="AI932" s="208"/>
      <c r="AJ932" s="208"/>
      <c r="AK932" s="208"/>
      <c r="AL932" s="208"/>
      <c r="AM932" s="208"/>
    </row>
    <row r="933" spans="1:39" ht="13.8" x14ac:dyDescent="0.25">
      <c r="A933" s="206"/>
      <c r="H933" s="207"/>
      <c r="J933" s="3"/>
      <c r="AG933" s="208"/>
      <c r="AH933" s="208"/>
      <c r="AI933" s="208"/>
      <c r="AJ933" s="208"/>
      <c r="AK933" s="208"/>
      <c r="AL933" s="208"/>
      <c r="AM933" s="208"/>
    </row>
    <row r="934" spans="1:39" ht="13.8" x14ac:dyDescent="0.25">
      <c r="A934" s="206"/>
      <c r="H934" s="207"/>
      <c r="J934" s="3"/>
      <c r="AG934" s="208"/>
      <c r="AH934" s="208"/>
      <c r="AI934" s="208"/>
      <c r="AJ934" s="208"/>
      <c r="AK934" s="208"/>
      <c r="AL934" s="208"/>
      <c r="AM934" s="208"/>
    </row>
    <row r="935" spans="1:39" ht="13.8" x14ac:dyDescent="0.25">
      <c r="A935" s="206"/>
      <c r="H935" s="207"/>
      <c r="J935" s="3"/>
      <c r="AG935" s="208"/>
      <c r="AH935" s="208"/>
      <c r="AI935" s="208"/>
      <c r="AJ935" s="208"/>
      <c r="AK935" s="208"/>
      <c r="AL935" s="208"/>
      <c r="AM935" s="208"/>
    </row>
    <row r="936" spans="1:39" ht="13.8" x14ac:dyDescent="0.25">
      <c r="A936" s="206"/>
      <c r="H936" s="207"/>
      <c r="J936" s="3"/>
      <c r="AG936" s="208"/>
      <c r="AH936" s="208"/>
      <c r="AI936" s="208"/>
      <c r="AJ936" s="208"/>
      <c r="AK936" s="208"/>
      <c r="AL936" s="208"/>
      <c r="AM936" s="208"/>
    </row>
    <row r="937" spans="1:39" ht="13.8" x14ac:dyDescent="0.25">
      <c r="A937" s="206"/>
      <c r="H937" s="207"/>
      <c r="J937" s="3"/>
      <c r="AG937" s="208"/>
      <c r="AH937" s="208"/>
      <c r="AI937" s="208"/>
      <c r="AJ937" s="208"/>
      <c r="AK937" s="208"/>
      <c r="AL937" s="208"/>
      <c r="AM937" s="208"/>
    </row>
    <row r="938" spans="1:39" ht="13.8" x14ac:dyDescent="0.25">
      <c r="A938" s="206"/>
      <c r="H938" s="207"/>
      <c r="J938" s="3"/>
      <c r="AG938" s="208"/>
      <c r="AH938" s="208"/>
      <c r="AI938" s="208"/>
      <c r="AJ938" s="208"/>
      <c r="AK938" s="208"/>
      <c r="AL938" s="208"/>
      <c r="AM938" s="208"/>
    </row>
    <row r="939" spans="1:39" ht="13.8" x14ac:dyDescent="0.25">
      <c r="A939" s="206"/>
      <c r="H939" s="207"/>
      <c r="J939" s="3"/>
      <c r="AG939" s="208"/>
      <c r="AH939" s="208"/>
      <c r="AI939" s="208"/>
      <c r="AJ939" s="208"/>
      <c r="AK939" s="208"/>
      <c r="AL939" s="208"/>
      <c r="AM939" s="208"/>
    </row>
    <row r="940" spans="1:39" ht="13.8" x14ac:dyDescent="0.25">
      <c r="A940" s="206"/>
      <c r="H940" s="207"/>
      <c r="J940" s="3"/>
      <c r="AG940" s="208"/>
      <c r="AH940" s="208"/>
      <c r="AI940" s="208"/>
      <c r="AJ940" s="208"/>
      <c r="AK940" s="208"/>
      <c r="AL940" s="208"/>
      <c r="AM940" s="208"/>
    </row>
    <row r="941" spans="1:39" ht="13.8" x14ac:dyDescent="0.25">
      <c r="A941" s="206"/>
      <c r="H941" s="207"/>
      <c r="J941" s="3"/>
      <c r="AG941" s="208"/>
      <c r="AH941" s="208"/>
      <c r="AI941" s="208"/>
      <c r="AJ941" s="208"/>
      <c r="AK941" s="208"/>
      <c r="AL941" s="208"/>
      <c r="AM941" s="208"/>
    </row>
    <row r="942" spans="1:39" ht="13.8" x14ac:dyDescent="0.25">
      <c r="A942" s="206"/>
      <c r="H942" s="207"/>
      <c r="J942" s="3"/>
      <c r="AG942" s="208"/>
      <c r="AH942" s="208"/>
      <c r="AI942" s="208"/>
      <c r="AJ942" s="208"/>
      <c r="AK942" s="208"/>
      <c r="AL942" s="208"/>
      <c r="AM942" s="208"/>
    </row>
    <row r="943" spans="1:39" ht="13.8" x14ac:dyDescent="0.25">
      <c r="A943" s="206"/>
      <c r="H943" s="207"/>
      <c r="J943" s="3"/>
      <c r="AG943" s="208"/>
      <c r="AH943" s="208"/>
      <c r="AI943" s="208"/>
      <c r="AJ943" s="208"/>
      <c r="AK943" s="208"/>
      <c r="AL943" s="208"/>
      <c r="AM943" s="208"/>
    </row>
    <row r="944" spans="1:39" ht="13.8" x14ac:dyDescent="0.25">
      <c r="A944" s="206"/>
      <c r="H944" s="207"/>
      <c r="J944" s="3"/>
      <c r="AG944" s="208"/>
      <c r="AH944" s="208"/>
      <c r="AI944" s="208"/>
      <c r="AJ944" s="208"/>
      <c r="AK944" s="208"/>
      <c r="AL944" s="208"/>
      <c r="AM944" s="208"/>
    </row>
    <row r="945" spans="1:39" ht="13.8" x14ac:dyDescent="0.25">
      <c r="A945" s="206"/>
      <c r="H945" s="207"/>
      <c r="J945" s="3"/>
      <c r="AG945" s="208"/>
      <c r="AH945" s="208"/>
      <c r="AI945" s="208"/>
      <c r="AJ945" s="208"/>
      <c r="AK945" s="208"/>
      <c r="AL945" s="208"/>
      <c r="AM945" s="208"/>
    </row>
    <row r="946" spans="1:39" ht="13.8" x14ac:dyDescent="0.25">
      <c r="A946" s="206"/>
      <c r="H946" s="207"/>
      <c r="J946" s="3"/>
      <c r="AG946" s="208"/>
      <c r="AH946" s="208"/>
      <c r="AI946" s="208"/>
      <c r="AJ946" s="208"/>
      <c r="AK946" s="208"/>
      <c r="AL946" s="208"/>
      <c r="AM946" s="208"/>
    </row>
    <row r="947" spans="1:39" ht="13.8" x14ac:dyDescent="0.25">
      <c r="A947" s="206"/>
      <c r="H947" s="207"/>
      <c r="J947" s="3"/>
      <c r="AG947" s="208"/>
      <c r="AH947" s="208"/>
      <c r="AI947" s="208"/>
      <c r="AJ947" s="208"/>
      <c r="AK947" s="208"/>
      <c r="AL947" s="208"/>
      <c r="AM947" s="208"/>
    </row>
    <row r="948" spans="1:39" ht="13.8" x14ac:dyDescent="0.25">
      <c r="A948" s="206"/>
      <c r="H948" s="207"/>
      <c r="J948" s="3"/>
      <c r="AG948" s="208"/>
      <c r="AH948" s="208"/>
      <c r="AI948" s="208"/>
      <c r="AJ948" s="208"/>
      <c r="AK948" s="208"/>
      <c r="AL948" s="208"/>
      <c r="AM948" s="208"/>
    </row>
    <row r="949" spans="1:39" ht="13.8" x14ac:dyDescent="0.25">
      <c r="A949" s="206"/>
      <c r="H949" s="207"/>
      <c r="J949" s="3"/>
      <c r="AG949" s="208"/>
      <c r="AH949" s="208"/>
      <c r="AI949" s="208"/>
      <c r="AJ949" s="208"/>
      <c r="AK949" s="208"/>
      <c r="AL949" s="208"/>
      <c r="AM949" s="208"/>
    </row>
    <row r="950" spans="1:39" ht="13.8" x14ac:dyDescent="0.25">
      <c r="A950" s="206"/>
      <c r="H950" s="207"/>
      <c r="J950" s="3"/>
      <c r="AG950" s="208"/>
      <c r="AH950" s="208"/>
      <c r="AI950" s="208"/>
      <c r="AJ950" s="208"/>
      <c r="AK950" s="208"/>
      <c r="AL950" s="208"/>
      <c r="AM950" s="208"/>
    </row>
    <row r="951" spans="1:39" ht="13.8" x14ac:dyDescent="0.25">
      <c r="A951" s="206"/>
      <c r="H951" s="207"/>
      <c r="J951" s="3"/>
      <c r="AG951" s="208"/>
      <c r="AH951" s="208"/>
      <c r="AI951" s="208"/>
      <c r="AJ951" s="208"/>
      <c r="AK951" s="208"/>
      <c r="AL951" s="208"/>
      <c r="AM951" s="208"/>
    </row>
    <row r="952" spans="1:39" ht="13.8" x14ac:dyDescent="0.25">
      <c r="A952" s="206"/>
      <c r="H952" s="207"/>
      <c r="J952" s="3"/>
      <c r="AG952" s="208"/>
      <c r="AH952" s="208"/>
      <c r="AI952" s="208"/>
      <c r="AJ952" s="208"/>
      <c r="AK952" s="208"/>
      <c r="AL952" s="208"/>
      <c r="AM952" s="208"/>
    </row>
    <row r="953" spans="1:39" ht="13.8" x14ac:dyDescent="0.25">
      <c r="A953" s="206"/>
      <c r="H953" s="207"/>
      <c r="J953" s="3"/>
      <c r="AG953" s="208"/>
      <c r="AH953" s="208"/>
      <c r="AI953" s="208"/>
      <c r="AJ953" s="208"/>
      <c r="AK953" s="208"/>
      <c r="AL953" s="208"/>
      <c r="AM953" s="208"/>
    </row>
    <row r="954" spans="1:39" ht="13.8" x14ac:dyDescent="0.25">
      <c r="A954" s="206"/>
      <c r="H954" s="207"/>
      <c r="J954" s="3"/>
      <c r="AG954" s="208"/>
      <c r="AH954" s="208"/>
      <c r="AI954" s="208"/>
      <c r="AJ954" s="208"/>
      <c r="AK954" s="208"/>
      <c r="AL954" s="208"/>
      <c r="AM954" s="208"/>
    </row>
    <row r="955" spans="1:39" ht="13.8" x14ac:dyDescent="0.25">
      <c r="A955" s="206"/>
      <c r="H955" s="207"/>
      <c r="J955" s="3"/>
      <c r="AG955" s="208"/>
      <c r="AH955" s="208"/>
      <c r="AI955" s="208"/>
      <c r="AJ955" s="208"/>
      <c r="AK955" s="208"/>
      <c r="AL955" s="208"/>
      <c r="AM955" s="208"/>
    </row>
    <row r="956" spans="1:39" ht="13.8" x14ac:dyDescent="0.25">
      <c r="A956" s="206"/>
      <c r="H956" s="207"/>
      <c r="J956" s="3"/>
      <c r="AG956" s="208"/>
      <c r="AH956" s="208"/>
      <c r="AI956" s="208"/>
      <c r="AJ956" s="208"/>
      <c r="AK956" s="208"/>
      <c r="AL956" s="208"/>
      <c r="AM956" s="208"/>
    </row>
    <row r="957" spans="1:39" ht="13.8" x14ac:dyDescent="0.25">
      <c r="A957" s="206"/>
      <c r="H957" s="207"/>
      <c r="J957" s="3"/>
      <c r="AG957" s="208"/>
      <c r="AH957" s="208"/>
      <c r="AI957" s="208"/>
      <c r="AJ957" s="208"/>
      <c r="AK957" s="208"/>
      <c r="AL957" s="208"/>
      <c r="AM957" s="208"/>
    </row>
    <row r="958" spans="1:39" ht="13.8" x14ac:dyDescent="0.25">
      <c r="A958" s="206"/>
      <c r="H958" s="207"/>
      <c r="J958" s="3"/>
      <c r="AG958" s="208"/>
      <c r="AH958" s="208"/>
      <c r="AI958" s="208"/>
      <c r="AJ958" s="208"/>
      <c r="AK958" s="208"/>
      <c r="AL958" s="208"/>
      <c r="AM958" s="208"/>
    </row>
    <row r="959" spans="1:39" ht="13.8" x14ac:dyDescent="0.25">
      <c r="A959" s="206"/>
      <c r="H959" s="207"/>
      <c r="J959" s="3"/>
      <c r="AG959" s="208"/>
      <c r="AH959" s="208"/>
      <c r="AI959" s="208"/>
      <c r="AJ959" s="208"/>
      <c r="AK959" s="208"/>
      <c r="AL959" s="208"/>
      <c r="AM959" s="208"/>
    </row>
    <row r="960" spans="1:39" ht="13.8" x14ac:dyDescent="0.25">
      <c r="A960" s="206"/>
      <c r="H960" s="207"/>
      <c r="J960" s="3"/>
      <c r="AG960" s="208"/>
      <c r="AH960" s="208"/>
      <c r="AI960" s="208"/>
      <c r="AJ960" s="208"/>
      <c r="AK960" s="208"/>
      <c r="AL960" s="208"/>
      <c r="AM960" s="208"/>
    </row>
    <row r="961" spans="1:39" ht="13.8" x14ac:dyDescent="0.25">
      <c r="A961" s="206"/>
      <c r="H961" s="207"/>
      <c r="J961" s="3"/>
      <c r="AG961" s="208"/>
      <c r="AH961" s="208"/>
      <c r="AI961" s="208"/>
      <c r="AJ961" s="208"/>
      <c r="AK961" s="208"/>
      <c r="AL961" s="208"/>
      <c r="AM961" s="208"/>
    </row>
    <row r="962" spans="1:39" ht="13.8" x14ac:dyDescent="0.25">
      <c r="A962" s="206"/>
      <c r="H962" s="207"/>
      <c r="J962" s="3"/>
      <c r="AG962" s="208"/>
      <c r="AH962" s="208"/>
      <c r="AI962" s="208"/>
      <c r="AJ962" s="208"/>
      <c r="AK962" s="208"/>
      <c r="AL962" s="208"/>
      <c r="AM962" s="208"/>
    </row>
    <row r="963" spans="1:39" ht="13.8" x14ac:dyDescent="0.25">
      <c r="A963" s="206"/>
      <c r="H963" s="207"/>
      <c r="J963" s="3"/>
      <c r="AG963" s="208"/>
      <c r="AH963" s="208"/>
      <c r="AI963" s="208"/>
      <c r="AJ963" s="208"/>
      <c r="AK963" s="208"/>
      <c r="AL963" s="208"/>
      <c r="AM963" s="208"/>
    </row>
    <row r="964" spans="1:39" ht="13.8" x14ac:dyDescent="0.25">
      <c r="A964" s="206"/>
      <c r="H964" s="207"/>
      <c r="J964" s="3"/>
      <c r="AG964" s="208"/>
      <c r="AH964" s="208"/>
      <c r="AI964" s="208"/>
      <c r="AJ964" s="208"/>
      <c r="AK964" s="208"/>
      <c r="AL964" s="208"/>
      <c r="AM964" s="208"/>
    </row>
    <row r="965" spans="1:39" ht="13.8" x14ac:dyDescent="0.25">
      <c r="A965" s="206"/>
      <c r="H965" s="207"/>
      <c r="J965" s="3"/>
      <c r="AG965" s="208"/>
      <c r="AH965" s="208"/>
      <c r="AI965" s="208"/>
      <c r="AJ965" s="208"/>
      <c r="AK965" s="208"/>
      <c r="AL965" s="208"/>
      <c r="AM965" s="208"/>
    </row>
    <row r="966" spans="1:39" ht="13.8" x14ac:dyDescent="0.25">
      <c r="A966" s="206"/>
      <c r="H966" s="207"/>
      <c r="J966" s="3"/>
      <c r="AG966" s="208"/>
      <c r="AH966" s="208"/>
      <c r="AI966" s="208"/>
      <c r="AJ966" s="208"/>
      <c r="AK966" s="208"/>
      <c r="AL966" s="208"/>
      <c r="AM966" s="208"/>
    </row>
    <row r="967" spans="1:39" ht="13.8" x14ac:dyDescent="0.25">
      <c r="A967" s="206"/>
      <c r="H967" s="207"/>
      <c r="J967" s="3"/>
      <c r="AG967" s="208"/>
      <c r="AH967" s="208"/>
      <c r="AI967" s="208"/>
      <c r="AJ967" s="208"/>
      <c r="AK967" s="208"/>
      <c r="AL967" s="208"/>
      <c r="AM967" s="208"/>
    </row>
    <row r="968" spans="1:39" ht="13.8" x14ac:dyDescent="0.25">
      <c r="A968" s="206"/>
      <c r="H968" s="207"/>
      <c r="J968" s="3"/>
      <c r="AG968" s="208"/>
      <c r="AH968" s="208"/>
      <c r="AI968" s="208"/>
      <c r="AJ968" s="208"/>
      <c r="AK968" s="208"/>
      <c r="AL968" s="208"/>
      <c r="AM968" s="208"/>
    </row>
    <row r="969" spans="1:39" ht="13.8" x14ac:dyDescent="0.25">
      <c r="A969" s="206"/>
      <c r="H969" s="207"/>
      <c r="J969" s="3"/>
      <c r="AG969" s="208"/>
      <c r="AH969" s="208"/>
      <c r="AI969" s="208"/>
      <c r="AJ969" s="208"/>
      <c r="AK969" s="208"/>
      <c r="AL969" s="208"/>
      <c r="AM969" s="208"/>
    </row>
    <row r="970" spans="1:39" ht="13.8" x14ac:dyDescent="0.25">
      <c r="A970" s="206"/>
      <c r="H970" s="207"/>
      <c r="J970" s="3"/>
      <c r="AG970" s="208"/>
      <c r="AH970" s="208"/>
      <c r="AI970" s="208"/>
      <c r="AJ970" s="208"/>
      <c r="AK970" s="208"/>
      <c r="AL970" s="208"/>
      <c r="AM970" s="208"/>
    </row>
    <row r="971" spans="1:39" ht="13.8" x14ac:dyDescent="0.25">
      <c r="A971" s="206"/>
      <c r="H971" s="207"/>
      <c r="J971" s="3"/>
      <c r="AG971" s="208"/>
      <c r="AH971" s="208"/>
      <c r="AI971" s="208"/>
      <c r="AJ971" s="208"/>
      <c r="AK971" s="208"/>
      <c r="AL971" s="208"/>
      <c r="AM971" s="208"/>
    </row>
    <row r="972" spans="1:39" ht="13.8" x14ac:dyDescent="0.25">
      <c r="A972" s="206"/>
      <c r="H972" s="207"/>
      <c r="J972" s="3"/>
      <c r="AG972" s="208"/>
      <c r="AH972" s="208"/>
      <c r="AI972" s="208"/>
      <c r="AJ972" s="208"/>
      <c r="AK972" s="208"/>
      <c r="AL972" s="208"/>
      <c r="AM972" s="208"/>
    </row>
    <row r="973" spans="1:39" ht="13.8" x14ac:dyDescent="0.25">
      <c r="A973" s="206"/>
      <c r="H973" s="207"/>
      <c r="J973" s="3"/>
      <c r="AG973" s="208"/>
      <c r="AH973" s="208"/>
      <c r="AI973" s="208"/>
      <c r="AJ973" s="208"/>
      <c r="AK973" s="208"/>
      <c r="AL973" s="208"/>
      <c r="AM973" s="208"/>
    </row>
    <row r="974" spans="1:39" ht="13.8" x14ac:dyDescent="0.25">
      <c r="A974" s="206"/>
      <c r="H974" s="207"/>
      <c r="J974" s="3"/>
      <c r="AG974" s="208"/>
      <c r="AH974" s="208"/>
      <c r="AI974" s="208"/>
      <c r="AJ974" s="208"/>
      <c r="AK974" s="208"/>
      <c r="AL974" s="208"/>
      <c r="AM974" s="208"/>
    </row>
    <row r="975" spans="1:39" ht="13.8" x14ac:dyDescent="0.25">
      <c r="A975" s="206"/>
      <c r="H975" s="207"/>
      <c r="J975" s="3"/>
      <c r="AG975" s="208"/>
      <c r="AH975" s="208"/>
      <c r="AI975" s="208"/>
      <c r="AJ975" s="208"/>
      <c r="AK975" s="208"/>
      <c r="AL975" s="208"/>
      <c r="AM975" s="208"/>
    </row>
    <row r="976" spans="1:39" ht="13.8" x14ac:dyDescent="0.25">
      <c r="A976" s="206"/>
      <c r="H976" s="207"/>
      <c r="J976" s="3"/>
      <c r="AG976" s="208"/>
      <c r="AH976" s="208"/>
      <c r="AI976" s="208"/>
      <c r="AJ976" s="208"/>
      <c r="AK976" s="208"/>
      <c r="AL976" s="208"/>
      <c r="AM976" s="208"/>
    </row>
    <row r="977" spans="1:39" ht="13.8" x14ac:dyDescent="0.25">
      <c r="A977" s="206"/>
      <c r="H977" s="207"/>
      <c r="J977" s="3"/>
      <c r="AG977" s="208"/>
      <c r="AH977" s="208"/>
      <c r="AI977" s="208"/>
      <c r="AJ977" s="208"/>
      <c r="AK977" s="208"/>
      <c r="AL977" s="208"/>
      <c r="AM977" s="208"/>
    </row>
    <row r="978" spans="1:39" ht="13.8" x14ac:dyDescent="0.25">
      <c r="A978" s="206"/>
      <c r="H978" s="207"/>
      <c r="J978" s="3"/>
      <c r="AG978" s="208"/>
      <c r="AH978" s="208"/>
      <c r="AI978" s="208"/>
      <c r="AJ978" s="208"/>
      <c r="AK978" s="208"/>
      <c r="AL978" s="208"/>
      <c r="AM978" s="208"/>
    </row>
    <row r="979" spans="1:39" ht="13.8" x14ac:dyDescent="0.25">
      <c r="A979" s="206"/>
      <c r="H979" s="207"/>
      <c r="J979" s="3"/>
      <c r="AG979" s="208"/>
      <c r="AH979" s="208"/>
      <c r="AI979" s="208"/>
      <c r="AJ979" s="208"/>
      <c r="AK979" s="208"/>
      <c r="AL979" s="208"/>
      <c r="AM979" s="208"/>
    </row>
    <row r="980" spans="1:39" ht="13.8" x14ac:dyDescent="0.25">
      <c r="A980" s="206"/>
      <c r="H980" s="207"/>
      <c r="J980" s="3"/>
      <c r="AG980" s="208"/>
      <c r="AH980" s="208"/>
      <c r="AI980" s="208"/>
      <c r="AJ980" s="208"/>
      <c r="AK980" s="208"/>
      <c r="AL980" s="208"/>
      <c r="AM980" s="208"/>
    </row>
    <row r="981" spans="1:39" ht="13.8" x14ac:dyDescent="0.25">
      <c r="A981" s="206"/>
      <c r="H981" s="207"/>
      <c r="J981" s="3"/>
      <c r="AG981" s="208"/>
      <c r="AH981" s="208"/>
      <c r="AI981" s="208"/>
      <c r="AJ981" s="208"/>
      <c r="AK981" s="208"/>
      <c r="AL981" s="208"/>
      <c r="AM981" s="208"/>
    </row>
    <row r="982" spans="1:39" ht="13.8" x14ac:dyDescent="0.25">
      <c r="A982" s="206"/>
      <c r="H982" s="207"/>
      <c r="J982" s="3"/>
      <c r="AG982" s="208"/>
      <c r="AH982" s="208"/>
      <c r="AI982" s="208"/>
      <c r="AJ982" s="208"/>
      <c r="AK982" s="208"/>
      <c r="AL982" s="208"/>
      <c r="AM982" s="208"/>
    </row>
    <row r="983" spans="1:39" ht="13.8" x14ac:dyDescent="0.25">
      <c r="A983" s="206"/>
      <c r="H983" s="207"/>
      <c r="J983" s="3"/>
      <c r="AG983" s="208"/>
      <c r="AH983" s="208"/>
      <c r="AI983" s="208"/>
      <c r="AJ983" s="208"/>
      <c r="AK983" s="208"/>
      <c r="AL983" s="208"/>
      <c r="AM983" s="208"/>
    </row>
    <row r="984" spans="1:39" ht="13.8" x14ac:dyDescent="0.25">
      <c r="A984" s="206"/>
      <c r="H984" s="207"/>
      <c r="J984" s="3"/>
      <c r="AG984" s="208"/>
      <c r="AH984" s="208"/>
      <c r="AI984" s="208"/>
      <c r="AJ984" s="208"/>
      <c r="AK984" s="208"/>
      <c r="AL984" s="208"/>
      <c r="AM984" s="208"/>
    </row>
    <row r="985" spans="1:39" ht="13.8" x14ac:dyDescent="0.25">
      <c r="A985" s="206"/>
      <c r="H985" s="207"/>
      <c r="J985" s="3"/>
      <c r="AG985" s="208"/>
      <c r="AH985" s="208"/>
      <c r="AI985" s="208"/>
      <c r="AJ985" s="208"/>
      <c r="AK985" s="208"/>
      <c r="AL985" s="208"/>
      <c r="AM985" s="208"/>
    </row>
    <row r="986" spans="1:39" ht="13.8" x14ac:dyDescent="0.25">
      <c r="A986" s="206"/>
      <c r="H986" s="207"/>
      <c r="J986" s="3"/>
      <c r="AG986" s="208"/>
      <c r="AH986" s="208"/>
      <c r="AI986" s="208"/>
      <c r="AJ986" s="208"/>
      <c r="AK986" s="208"/>
      <c r="AL986" s="208"/>
      <c r="AM986" s="208"/>
    </row>
    <row r="987" spans="1:39" ht="13.8" x14ac:dyDescent="0.25">
      <c r="A987" s="206"/>
      <c r="H987" s="207"/>
      <c r="J987" s="3"/>
      <c r="AG987" s="208"/>
      <c r="AH987" s="208"/>
      <c r="AI987" s="208"/>
      <c r="AJ987" s="208"/>
      <c r="AK987" s="208"/>
      <c r="AL987" s="208"/>
      <c r="AM987" s="208"/>
    </row>
    <row r="988" spans="1:39" ht="13.8" x14ac:dyDescent="0.25">
      <c r="A988" s="206"/>
      <c r="H988" s="207"/>
      <c r="J988" s="3"/>
      <c r="AG988" s="208"/>
      <c r="AH988" s="208"/>
      <c r="AI988" s="208"/>
      <c r="AJ988" s="208"/>
      <c r="AK988" s="208"/>
      <c r="AL988" s="208"/>
      <c r="AM988" s="208"/>
    </row>
    <row r="989" spans="1:39" ht="13.8" x14ac:dyDescent="0.25">
      <c r="A989" s="206"/>
      <c r="H989" s="207"/>
      <c r="J989" s="3"/>
      <c r="AG989" s="208"/>
      <c r="AH989" s="208"/>
      <c r="AI989" s="208"/>
      <c r="AJ989" s="208"/>
      <c r="AK989" s="208"/>
      <c r="AL989" s="208"/>
      <c r="AM989" s="208"/>
    </row>
    <row r="990" spans="1:39" ht="13.8" x14ac:dyDescent="0.25">
      <c r="A990" s="206"/>
      <c r="H990" s="207"/>
      <c r="J990" s="3"/>
      <c r="AG990" s="208"/>
      <c r="AH990" s="208"/>
      <c r="AI990" s="208"/>
      <c r="AJ990" s="208"/>
      <c r="AK990" s="208"/>
      <c r="AL990" s="208"/>
      <c r="AM990" s="208"/>
    </row>
    <row r="991" spans="1:39" ht="13.8" x14ac:dyDescent="0.25">
      <c r="A991" s="206"/>
      <c r="H991" s="207"/>
      <c r="J991" s="3"/>
      <c r="AG991" s="208"/>
      <c r="AH991" s="208"/>
      <c r="AI991" s="208"/>
      <c r="AJ991" s="208"/>
      <c r="AK991" s="208"/>
      <c r="AL991" s="208"/>
      <c r="AM991" s="208"/>
    </row>
    <row r="992" spans="1:39" ht="13.8" x14ac:dyDescent="0.25">
      <c r="A992" s="206"/>
      <c r="H992" s="207"/>
      <c r="J992" s="3"/>
      <c r="AG992" s="208"/>
      <c r="AH992" s="208"/>
      <c r="AI992" s="208"/>
      <c r="AJ992" s="208"/>
      <c r="AK992" s="208"/>
      <c r="AL992" s="208"/>
      <c r="AM992" s="208"/>
    </row>
    <row r="993" spans="1:39" ht="13.8" x14ac:dyDescent="0.25">
      <c r="A993" s="206"/>
      <c r="H993" s="207"/>
      <c r="J993" s="3"/>
      <c r="AG993" s="208"/>
      <c r="AH993" s="208"/>
      <c r="AI993" s="208"/>
      <c r="AJ993" s="208"/>
      <c r="AK993" s="208"/>
      <c r="AL993" s="208"/>
      <c r="AM993" s="208"/>
    </row>
    <row r="994" spans="1:39" ht="13.8" x14ac:dyDescent="0.25">
      <c r="A994" s="206"/>
      <c r="H994" s="207"/>
      <c r="J994" s="3"/>
      <c r="AG994" s="208"/>
      <c r="AH994" s="208"/>
      <c r="AI994" s="208"/>
      <c r="AJ994" s="208"/>
      <c r="AK994" s="208"/>
      <c r="AL994" s="208"/>
      <c r="AM994" s="208"/>
    </row>
    <row r="995" spans="1:39" ht="13.8" x14ac:dyDescent="0.25">
      <c r="A995" s="206"/>
      <c r="H995" s="207"/>
      <c r="J995" s="3"/>
      <c r="AG995" s="208"/>
      <c r="AH995" s="208"/>
      <c r="AI995" s="208"/>
      <c r="AJ995" s="208"/>
      <c r="AK995" s="208"/>
      <c r="AL995" s="208"/>
      <c r="AM995" s="208"/>
    </row>
    <row r="996" spans="1:39" ht="13.8" x14ac:dyDescent="0.25">
      <c r="A996" s="206"/>
      <c r="H996" s="207"/>
      <c r="J996" s="3"/>
      <c r="AG996" s="208"/>
      <c r="AH996" s="208"/>
      <c r="AI996" s="208"/>
      <c r="AJ996" s="208"/>
      <c r="AK996" s="208"/>
      <c r="AL996" s="208"/>
      <c r="AM996" s="208"/>
    </row>
    <row r="997" spans="1:39" ht="13.8" x14ac:dyDescent="0.25">
      <c r="A997" s="206"/>
      <c r="H997" s="207"/>
      <c r="J997" s="3"/>
      <c r="AG997" s="208"/>
      <c r="AH997" s="208"/>
      <c r="AI997" s="208"/>
      <c r="AJ997" s="208"/>
      <c r="AK997" s="208"/>
      <c r="AL997" s="208"/>
      <c r="AM997" s="208"/>
    </row>
    <row r="998" spans="1:39" ht="13.8" x14ac:dyDescent="0.25">
      <c r="A998" s="206"/>
      <c r="H998" s="207"/>
      <c r="J998" s="3"/>
      <c r="AG998" s="208"/>
      <c r="AH998" s="208"/>
      <c r="AI998" s="208"/>
      <c r="AJ998" s="208"/>
      <c r="AK998" s="208"/>
      <c r="AL998" s="208"/>
      <c r="AM998" s="208"/>
    </row>
    <row r="999" spans="1:39" ht="13.8" x14ac:dyDescent="0.25">
      <c r="A999" s="206"/>
      <c r="H999" s="207"/>
      <c r="J999" s="3"/>
      <c r="AG999" s="208"/>
      <c r="AH999" s="208"/>
      <c r="AI999" s="208"/>
      <c r="AJ999" s="208"/>
      <c r="AK999" s="208"/>
      <c r="AL999" s="208"/>
      <c r="AM999" s="208"/>
    </row>
    <row r="1000" spans="1:39" ht="13.8" x14ac:dyDescent="0.25">
      <c r="A1000" s="206"/>
      <c r="H1000" s="207"/>
      <c r="J1000" s="3"/>
      <c r="AG1000" s="208"/>
      <c r="AH1000" s="208"/>
      <c r="AI1000" s="208"/>
      <c r="AJ1000" s="208"/>
      <c r="AK1000" s="208"/>
      <c r="AL1000" s="208"/>
      <c r="AM1000" s="208"/>
    </row>
    <row r="1001" spans="1:39" ht="13.8" x14ac:dyDescent="0.25">
      <c r="A1001" s="206"/>
      <c r="H1001" s="207"/>
      <c r="J1001" s="3"/>
      <c r="AG1001" s="208"/>
      <c r="AH1001" s="208"/>
      <c r="AI1001" s="208"/>
      <c r="AJ1001" s="208"/>
      <c r="AK1001" s="208"/>
      <c r="AL1001" s="208"/>
      <c r="AM1001" s="208"/>
    </row>
    <row r="1002" spans="1:39" ht="13.8" x14ac:dyDescent="0.25">
      <c r="A1002" s="206"/>
      <c r="H1002" s="207"/>
      <c r="J1002" s="3"/>
      <c r="AG1002" s="208"/>
      <c r="AH1002" s="208"/>
      <c r="AI1002" s="208"/>
      <c r="AJ1002" s="208"/>
      <c r="AK1002" s="208"/>
      <c r="AL1002" s="208"/>
      <c r="AM1002" s="208"/>
    </row>
    <row r="1003" spans="1:39" ht="13.8" x14ac:dyDescent="0.25">
      <c r="A1003" s="206"/>
      <c r="H1003" s="209"/>
      <c r="J1003" s="3"/>
      <c r="AG1003" s="208"/>
      <c r="AH1003" s="208"/>
      <c r="AI1003" s="208"/>
      <c r="AJ1003" s="208"/>
      <c r="AK1003" s="208"/>
      <c r="AL1003" s="208"/>
      <c r="AM1003" s="208"/>
    </row>
  </sheetData>
  <mergeCells count="25">
    <mergeCell ref="P2:BJ2"/>
    <mergeCell ref="C3:G3"/>
    <mergeCell ref="J3:L3"/>
    <mergeCell ref="Q3:S3"/>
    <mergeCell ref="T3:Y3"/>
    <mergeCell ref="Z3:AT3"/>
    <mergeCell ref="BS3:CI3"/>
    <mergeCell ref="T5:V5"/>
    <mergeCell ref="Z5:AT5"/>
    <mergeCell ref="AV5:BJ5"/>
    <mergeCell ref="BS5:BV5"/>
    <mergeCell ref="BW5:BZ5"/>
    <mergeCell ref="CB5:CC5"/>
    <mergeCell ref="CD5:CI5"/>
    <mergeCell ref="AV9:BJ9"/>
    <mergeCell ref="W5:Y5"/>
    <mergeCell ref="Z6:AF6"/>
    <mergeCell ref="AG6:AM6"/>
    <mergeCell ref="AN6:AT6"/>
    <mergeCell ref="BL6:BQ6"/>
    <mergeCell ref="AV7:AX7"/>
    <mergeCell ref="AY7:BA7"/>
    <mergeCell ref="BH7:BJ7"/>
    <mergeCell ref="BB7:BD7"/>
    <mergeCell ref="BE7:BG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82676-D389-45F8-A0B0-C894CDD529B2}">
  <sheetPr codeName="Sheet7">
    <tabColor theme="6" tint="0.39997558519241921"/>
  </sheetPr>
  <dimension ref="B2:BH195"/>
  <sheetViews>
    <sheetView zoomScale="94" zoomScaleNormal="94" workbookViewId="0">
      <selection activeCell="O33" sqref="O33"/>
    </sheetView>
  </sheetViews>
  <sheetFormatPr defaultColWidth="7.6640625" defaultRowHeight="13.2" x14ac:dyDescent="0.25"/>
  <cols>
    <col min="2" max="2" width="21.44140625" customWidth="1"/>
    <col min="3" max="3" width="16" customWidth="1"/>
    <col min="4" max="4" width="5.33203125" customWidth="1"/>
    <col min="5" max="5" width="16" customWidth="1"/>
    <col min="9" max="9" width="30.88671875" customWidth="1"/>
    <col min="10" max="10" width="7.6640625" style="235"/>
    <col min="11" max="11" width="6.109375" style="240" customWidth="1"/>
    <col min="12" max="12" width="17.109375" customWidth="1"/>
  </cols>
  <sheetData>
    <row r="2" spans="2:12" ht="13.8" thickBot="1" x14ac:dyDescent="0.3">
      <c r="B2" s="224" t="s">
        <v>199</v>
      </c>
      <c r="C2" s="218" t="s">
        <v>67</v>
      </c>
      <c r="D2" s="212"/>
      <c r="I2" s="224"/>
    </row>
    <row r="3" spans="2:12" ht="27" thickBot="1" x14ac:dyDescent="0.3">
      <c r="B3" s="211" t="s">
        <v>195</v>
      </c>
      <c r="C3" s="219"/>
      <c r="D3" s="211"/>
      <c r="E3" s="211" t="s">
        <v>134</v>
      </c>
      <c r="I3" s="220" t="str">
        <f>B3</f>
        <v>Parameter description</v>
      </c>
      <c r="L3" s="220" t="str">
        <f>E3</f>
        <v>VBA Variable Name</v>
      </c>
    </row>
    <row r="4" spans="2:12" ht="13.8" thickBot="1" x14ac:dyDescent="0.3">
      <c r="B4" s="211" t="s">
        <v>205</v>
      </c>
      <c r="C4" s="219"/>
      <c r="D4" s="211"/>
      <c r="E4" s="211"/>
      <c r="I4" t="str">
        <f>B4</f>
        <v>General details</v>
      </c>
    </row>
    <row r="5" spans="2:12" ht="27" thickBot="1" x14ac:dyDescent="0.3">
      <c r="B5" s="210" t="s">
        <v>206</v>
      </c>
      <c r="C5" s="221">
        <f>VLOOKUP(Automation_Steel_Superstructure!$C$2,Steel_Superstructure_IFC!$A$10:$CI$57,9)</f>
        <v>10.5</v>
      </c>
      <c r="D5" s="210" t="s">
        <v>63</v>
      </c>
      <c r="E5" s="210" t="s">
        <v>135</v>
      </c>
      <c r="I5" t="str">
        <f t="shared" ref="I5:I9" si="0">B5</f>
        <v>Total Width of bridge deck</v>
      </c>
      <c r="J5" s="235">
        <f t="shared" ref="J5:J9" si="1">C5</f>
        <v>10.5</v>
      </c>
      <c r="K5" s="240" t="str">
        <f t="shared" ref="K5:K9" si="2">D5</f>
        <v>m</v>
      </c>
      <c r="L5" t="str">
        <f t="shared" ref="L5:L9" si="3">E5</f>
        <v>deckWidth</v>
      </c>
    </row>
    <row r="6" spans="2:12" ht="27" thickBot="1" x14ac:dyDescent="0.3">
      <c r="B6" s="210" t="s">
        <v>207</v>
      </c>
      <c r="C6" s="221">
        <f>VLOOKUP(Automation_Steel_Superstructure!$C$2,Steel_Superstructure_IFC!$A$10:$CI$57,5)</f>
        <v>20</v>
      </c>
      <c r="D6" s="210" t="s">
        <v>63</v>
      </c>
      <c r="E6" s="210" t="s">
        <v>146</v>
      </c>
      <c r="I6" t="str">
        <f t="shared" si="0"/>
        <v>Total Span of bridge deck</v>
      </c>
      <c r="J6" s="235">
        <f t="shared" si="1"/>
        <v>20</v>
      </c>
      <c r="K6" s="240" t="str">
        <f t="shared" si="2"/>
        <v>m</v>
      </c>
      <c r="L6" t="str">
        <f t="shared" si="3"/>
        <v>deckSpan</v>
      </c>
    </row>
    <row r="7" spans="2:12" ht="13.8" thickBot="1" x14ac:dyDescent="0.3">
      <c r="B7" s="210" t="s">
        <v>136</v>
      </c>
      <c r="C7" s="221">
        <f>VLOOKUP(Automation_Steel_Superstructure!$C$2,Steel_Superstructure_IFC!$A$10:$CI$57,14)</f>
        <v>0.23</v>
      </c>
      <c r="D7" s="210" t="s">
        <v>63</v>
      </c>
      <c r="E7" s="210" t="s">
        <v>137</v>
      </c>
      <c r="I7" t="str">
        <f t="shared" si="0"/>
        <v>Deck Slab Thickness</v>
      </c>
      <c r="J7" s="235">
        <f t="shared" si="1"/>
        <v>0.23</v>
      </c>
      <c r="K7" s="240" t="str">
        <f t="shared" si="2"/>
        <v>m</v>
      </c>
      <c r="L7" t="str">
        <f t="shared" si="3"/>
        <v>slabThk</v>
      </c>
    </row>
    <row r="8" spans="2:12" ht="13.8" thickBot="1" x14ac:dyDescent="0.3">
      <c r="B8" s="210" t="s">
        <v>138</v>
      </c>
      <c r="C8" s="221">
        <f>VLOOKUP(Automation_Steel_Superstructure!$C$2,Steel_Superstructure_IFC!$A$10:$CI$57,15)</f>
        <v>4</v>
      </c>
      <c r="D8" s="210" t="s">
        <v>149</v>
      </c>
      <c r="E8" s="210" t="s">
        <v>139</v>
      </c>
      <c r="I8" t="str">
        <f t="shared" si="0"/>
        <v>Number of Girders</v>
      </c>
      <c r="J8" s="235">
        <f t="shared" si="1"/>
        <v>4</v>
      </c>
      <c r="K8" s="240" t="str">
        <f t="shared" si="2"/>
        <v>Nos.</v>
      </c>
      <c r="L8" t="str">
        <f t="shared" si="3"/>
        <v>numGirders</v>
      </c>
    </row>
    <row r="9" spans="2:12" ht="27" thickBot="1" x14ac:dyDescent="0.3">
      <c r="B9" s="210" t="s">
        <v>140</v>
      </c>
      <c r="C9" s="221">
        <f>VLOOKUP(Automation_Steel_Superstructure!$C$2,Steel_Superstructure_IFC!$A$10:$CI$57,16)</f>
        <v>2.75</v>
      </c>
      <c r="D9" s="210" t="s">
        <v>63</v>
      </c>
      <c r="E9" s="210" t="s">
        <v>35</v>
      </c>
      <c r="I9" t="str">
        <f t="shared" si="0"/>
        <v>C/C spacing between Girders</v>
      </c>
      <c r="J9" s="235">
        <f t="shared" si="1"/>
        <v>2.75</v>
      </c>
      <c r="K9" s="240" t="str">
        <f t="shared" si="2"/>
        <v>m</v>
      </c>
      <c r="L9" t="str">
        <f t="shared" si="3"/>
        <v>Spacing</v>
      </c>
    </row>
    <row r="10" spans="2:12" ht="13.8" thickBot="1" x14ac:dyDescent="0.3">
      <c r="B10" t="s">
        <v>237</v>
      </c>
      <c r="C10" s="221">
        <f>C5-0.3*2-0.45*2-1.5*2</f>
        <v>6</v>
      </c>
      <c r="D10" s="240" t="s">
        <v>63</v>
      </c>
      <c r="E10" t="s">
        <v>238</v>
      </c>
    </row>
    <row r="11" spans="2:12" ht="13.8" thickBot="1" x14ac:dyDescent="0.3">
      <c r="B11" t="s">
        <v>239</v>
      </c>
      <c r="C11" s="221">
        <v>0.08</v>
      </c>
      <c r="D11" s="240" t="s">
        <v>63</v>
      </c>
      <c r="E11" t="s">
        <v>240</v>
      </c>
      <c r="I11" s="211" t="str">
        <f>B12</f>
        <v>Bracing properties.</v>
      </c>
      <c r="J11" s="237"/>
      <c r="K11" s="242"/>
      <c r="L11" s="211"/>
    </row>
    <row r="12" spans="2:12" ht="27" thickBot="1" x14ac:dyDescent="0.3">
      <c r="B12" s="211" t="s">
        <v>150</v>
      </c>
      <c r="C12" s="210"/>
      <c r="D12" s="210"/>
      <c r="E12" s="210"/>
      <c r="I12" s="210" t="str">
        <f t="shared" ref="I12:L15" si="4">B15</f>
        <v>bracing Section</v>
      </c>
      <c r="J12" s="213" t="str">
        <f t="shared" si="4"/>
        <v>90 x 90 x 10</v>
      </c>
      <c r="K12" s="241">
        <f t="shared" si="4"/>
        <v>0</v>
      </c>
      <c r="L12" s="210" t="str">
        <f t="shared" si="4"/>
        <v>Section</v>
      </c>
    </row>
    <row r="13" spans="2:12" ht="27" thickBot="1" x14ac:dyDescent="0.3">
      <c r="B13" s="217" t="s">
        <v>201</v>
      </c>
      <c r="C13" s="210">
        <f>VLOOKUP(Automation_Steel_Superstructure!$C$2,Steel_Superstructure_IFC!$A$10:$CI$57,17)</f>
        <v>4</v>
      </c>
      <c r="D13" s="210" t="s">
        <v>63</v>
      </c>
      <c r="E13" s="210" t="s">
        <v>208</v>
      </c>
      <c r="I13" s="241" t="str">
        <f t="shared" si="4"/>
        <v>Width of bracing</v>
      </c>
      <c r="J13" s="213">
        <f t="shared" si="4"/>
        <v>0.09</v>
      </c>
      <c r="K13" s="241" t="str">
        <f t="shared" si="4"/>
        <v>m</v>
      </c>
      <c r="L13" s="241" t="str">
        <f t="shared" si="4"/>
        <v>bWidth</v>
      </c>
    </row>
    <row r="14" spans="2:12" ht="13.8" thickBot="1" x14ac:dyDescent="0.3">
      <c r="B14" s="210" t="s">
        <v>200</v>
      </c>
      <c r="C14" s="210">
        <f>VLOOKUP(Automation_Steel_Superstructure!$C$2,Steel_Superstructure_IFC!$A$10:$CI$57,18)</f>
        <v>6</v>
      </c>
      <c r="D14" s="210"/>
      <c r="E14" s="210" t="s">
        <v>209</v>
      </c>
      <c r="I14" s="241" t="str">
        <f t="shared" si="4"/>
        <v>Length of bracing</v>
      </c>
      <c r="J14" s="213">
        <f t="shared" si="4"/>
        <v>0.09</v>
      </c>
      <c r="K14" s="241" t="str">
        <f t="shared" si="4"/>
        <v>m</v>
      </c>
      <c r="L14" s="241" t="str">
        <f t="shared" si="4"/>
        <v>bLength</v>
      </c>
    </row>
    <row r="15" spans="2:12" ht="13.8" thickBot="1" x14ac:dyDescent="0.3">
      <c r="B15" s="210" t="s">
        <v>152</v>
      </c>
      <c r="C15" s="213" t="str">
        <f>VLOOKUP(Automation_Steel_Superstructure!$C$2,Steel_Superstructure_IFC!$A$10:$CI$57,19)</f>
        <v>90 x 90 x 10</v>
      </c>
      <c r="D15" s="210"/>
      <c r="E15" s="210" t="s">
        <v>151</v>
      </c>
      <c r="I15" s="241" t="str">
        <f t="shared" si="4"/>
        <v>Thickness of bracing</v>
      </c>
      <c r="J15" s="213">
        <f t="shared" si="4"/>
        <v>0.01</v>
      </c>
      <c r="K15" s="241" t="str">
        <f t="shared" si="4"/>
        <v>m</v>
      </c>
      <c r="L15" s="241" t="str">
        <f t="shared" si="4"/>
        <v>bthickness</v>
      </c>
    </row>
    <row r="16" spans="2:12" ht="13.8" thickBot="1" x14ac:dyDescent="0.3">
      <c r="B16" s="210" t="s">
        <v>211</v>
      </c>
      <c r="C16" s="213">
        <f>VALUE(_xlfn.TEXTBEFORE(C15," x "))/1000</f>
        <v>0.09</v>
      </c>
      <c r="D16" s="210" t="s">
        <v>63</v>
      </c>
      <c r="E16" s="210" t="s">
        <v>213</v>
      </c>
      <c r="I16" s="224"/>
      <c r="J16" s="213"/>
      <c r="K16" s="241"/>
    </row>
    <row r="17" spans="2:18" ht="13.8" thickBot="1" x14ac:dyDescent="0.3">
      <c r="B17" s="210" t="s">
        <v>212</v>
      </c>
      <c r="C17" s="213">
        <f>VALUE(_xlfn.TEXTBEFORE(_xlfn.TEXTAFTER(C15," x ")," x "))/1000</f>
        <v>0.09</v>
      </c>
      <c r="D17" s="210" t="s">
        <v>63</v>
      </c>
      <c r="E17" s="210" t="s">
        <v>214</v>
      </c>
      <c r="I17" s="211" t="str">
        <f t="shared" ref="I17:I23" si="5">B20</f>
        <v>Mid portion girder properties</v>
      </c>
      <c r="J17" s="236"/>
      <c r="K17" s="241"/>
      <c r="L17" s="210"/>
    </row>
    <row r="18" spans="2:18" ht="13.8" thickBot="1" x14ac:dyDescent="0.3">
      <c r="B18" s="210" t="s">
        <v>215</v>
      </c>
      <c r="C18" s="212">
        <f>VALUE(_xlfn.TEXTAFTER(C15," x ",2))/1000</f>
        <v>0.01</v>
      </c>
      <c r="D18" s="210" t="s">
        <v>63</v>
      </c>
      <c r="E18" s="210" t="s">
        <v>216</v>
      </c>
      <c r="I18" s="210" t="str">
        <f t="shared" si="5"/>
        <v>Top Flange Width</v>
      </c>
      <c r="J18" s="213">
        <f t="shared" ref="J18:L22" si="6">C21</f>
        <v>0.42499999999999999</v>
      </c>
      <c r="K18" s="241" t="str">
        <f t="shared" si="6"/>
        <v>m</v>
      </c>
      <c r="L18" s="210" t="str">
        <f t="shared" si="6"/>
        <v>gTopWMid</v>
      </c>
      <c r="R18" s="212"/>
    </row>
    <row r="19" spans="2:18" ht="13.8" thickBot="1" x14ac:dyDescent="0.3">
      <c r="B19" s="210"/>
      <c r="C19" s="221"/>
      <c r="D19" s="210"/>
      <c r="E19" s="210"/>
      <c r="I19" s="210" t="str">
        <f t="shared" si="5"/>
        <v>Top Flange Thickness</v>
      </c>
      <c r="J19" s="213">
        <f t="shared" si="6"/>
        <v>2.1999999999999999E-2</v>
      </c>
      <c r="K19" s="241" t="str">
        <f t="shared" si="6"/>
        <v>m</v>
      </c>
      <c r="L19" s="210" t="str">
        <f t="shared" si="6"/>
        <v>gTopTMid</v>
      </c>
    </row>
    <row r="20" spans="2:18" ht="27" thickBot="1" x14ac:dyDescent="0.3">
      <c r="B20" s="211" t="s">
        <v>196</v>
      </c>
      <c r="C20" s="221"/>
      <c r="D20" s="210"/>
      <c r="E20" s="210"/>
      <c r="I20" s="210" t="str">
        <f t="shared" si="5"/>
        <v>Web Depth</v>
      </c>
      <c r="J20" s="213">
        <f t="shared" si="6"/>
        <v>1</v>
      </c>
      <c r="K20" s="241" t="str">
        <f t="shared" si="6"/>
        <v>m</v>
      </c>
      <c r="L20" s="210" t="str">
        <f t="shared" si="6"/>
        <v>gWebDMid</v>
      </c>
    </row>
    <row r="21" spans="2:18" ht="13.8" thickBot="1" x14ac:dyDescent="0.3">
      <c r="B21" s="210" t="s">
        <v>141</v>
      </c>
      <c r="C21" s="221">
        <f>VLOOKUP(Automation_Steel_Superstructure!$C$2,Steel_Superstructure_IFC!$A$10:$CI$57,26)</f>
        <v>0.42499999999999999</v>
      </c>
      <c r="D21" s="210" t="s">
        <v>63</v>
      </c>
      <c r="E21" s="210" t="s">
        <v>157</v>
      </c>
      <c r="I21" s="210" t="str">
        <f t="shared" si="5"/>
        <v>Web Thickness</v>
      </c>
      <c r="J21" s="213">
        <f t="shared" si="6"/>
        <v>0.01</v>
      </c>
      <c r="K21" s="241" t="str">
        <f t="shared" si="6"/>
        <v>m</v>
      </c>
      <c r="L21" s="210" t="str">
        <f t="shared" si="6"/>
        <v>gWebTMid</v>
      </c>
    </row>
    <row r="22" spans="2:18" ht="13.8" thickBot="1" x14ac:dyDescent="0.3">
      <c r="B22" s="210" t="s">
        <v>142</v>
      </c>
      <c r="C22" s="221">
        <f>VLOOKUP(Automation_Steel_Superstructure!$C$2,Steel_Superstructure_IFC!$A$10:$CI$57,27)</f>
        <v>2.1999999999999999E-2</v>
      </c>
      <c r="D22" s="210" t="s">
        <v>63</v>
      </c>
      <c r="E22" s="210" t="s">
        <v>158</v>
      </c>
      <c r="I22" s="210" t="str">
        <f t="shared" si="5"/>
        <v>Bottom Flange Width</v>
      </c>
      <c r="J22" s="213">
        <f t="shared" si="6"/>
        <v>0.5</v>
      </c>
      <c r="K22" s="241" t="str">
        <f t="shared" si="6"/>
        <v>m</v>
      </c>
      <c r="L22" s="210" t="str">
        <f t="shared" si="6"/>
        <v>gBotWMid</v>
      </c>
    </row>
    <row r="23" spans="2:18" ht="13.8" thickBot="1" x14ac:dyDescent="0.3">
      <c r="B23" s="210" t="s">
        <v>148</v>
      </c>
      <c r="C23" s="221">
        <f>VLOOKUP(Automation_Steel_Superstructure!$C$2,Steel_Superstructure_IFC!$A$10:$CI$57,28)</f>
        <v>1</v>
      </c>
      <c r="D23" s="210" t="s">
        <v>63</v>
      </c>
      <c r="E23" s="210" t="s">
        <v>167</v>
      </c>
      <c r="I23" s="210" t="str">
        <f t="shared" si="5"/>
        <v>Bottom Flange Thickness</v>
      </c>
      <c r="J23" s="213" t="s">
        <v>246</v>
      </c>
      <c r="K23" s="241" t="str">
        <f>D26</f>
        <v>m</v>
      </c>
      <c r="L23" s="210" t="str">
        <f>E26</f>
        <v>gBotTMid</v>
      </c>
    </row>
    <row r="24" spans="2:18" ht="13.8" thickBot="1" x14ac:dyDescent="0.3">
      <c r="B24" s="210" t="s">
        <v>143</v>
      </c>
      <c r="C24" s="221">
        <f>VLOOKUP(Automation_Steel_Superstructure!$C$2,Steel_Superstructure_IFC!$A$10:$CI$57,29)</f>
        <v>0.01</v>
      </c>
      <c r="D24" s="210" t="s">
        <v>63</v>
      </c>
      <c r="E24" s="210" t="s">
        <v>159</v>
      </c>
      <c r="I24" s="220" t="str">
        <f t="shared" ref="I24:I31" si="7">B55</f>
        <v>Transverse Stiffeners [per one side of the girder]</v>
      </c>
      <c r="J24" s="238"/>
      <c r="K24" s="243"/>
      <c r="L24" s="220"/>
    </row>
    <row r="25" spans="2:18" ht="13.8" thickBot="1" x14ac:dyDescent="0.3">
      <c r="B25" s="210" t="s">
        <v>144</v>
      </c>
      <c r="C25" s="221">
        <f>VLOOKUP(Automation_Steel_Superstructure!$C$2,Steel_Superstructure_IFC!$A$10:$CI$57,30)</f>
        <v>0.5</v>
      </c>
      <c r="D25" s="210" t="s">
        <v>63</v>
      </c>
      <c r="E25" s="210" t="s">
        <v>160</v>
      </c>
      <c r="I25" s="212" t="str">
        <f t="shared" si="7"/>
        <v>Width</v>
      </c>
      <c r="J25" s="239">
        <f t="shared" ref="J25:L27" si="8">C56</f>
        <v>0.2</v>
      </c>
      <c r="K25" s="244" t="str">
        <f t="shared" si="8"/>
        <v>m</v>
      </c>
      <c r="L25" s="212" t="str">
        <f t="shared" si="8"/>
        <v>sTransW</v>
      </c>
    </row>
    <row r="26" spans="2:18" ht="27" thickBot="1" x14ac:dyDescent="0.3">
      <c r="B26" s="210" t="s">
        <v>145</v>
      </c>
      <c r="C26" s="221">
        <f>VLOOKUP(Automation_Steel_Superstructure!$C$2,Steel_Superstructure_IFC!$A$10:$CI$57,31)</f>
        <v>2.8000000000000001E-2</v>
      </c>
      <c r="D26" s="210" t="s">
        <v>63</v>
      </c>
      <c r="E26" s="210" t="s">
        <v>161</v>
      </c>
      <c r="I26" s="212" t="str">
        <f t="shared" si="7"/>
        <v>Thickness</v>
      </c>
      <c r="J26" s="239">
        <f t="shared" si="8"/>
        <v>8.0000000000000002E-3</v>
      </c>
      <c r="K26" s="244" t="str">
        <f t="shared" si="8"/>
        <v>m</v>
      </c>
      <c r="L26" s="212" t="str">
        <f t="shared" si="8"/>
        <v>sTransT</v>
      </c>
    </row>
    <row r="27" spans="2:18" ht="27" thickBot="1" x14ac:dyDescent="0.3">
      <c r="B27" s="210" t="s">
        <v>189</v>
      </c>
      <c r="C27" s="221">
        <f>VLOOKUP(Automation_Steel_Superstructure!$C$2,Steel_Superstructure_IFC!$A$10:$CI$57,32)</f>
        <v>8</v>
      </c>
      <c r="D27" s="210" t="s">
        <v>63</v>
      </c>
      <c r="E27" s="210" t="s">
        <v>190</v>
      </c>
      <c r="I27" s="212" t="str">
        <f t="shared" si="7"/>
        <v>Spacing</v>
      </c>
      <c r="J27" s="239">
        <f t="shared" si="8"/>
        <v>1.5</v>
      </c>
      <c r="K27" s="244" t="str">
        <f t="shared" si="8"/>
        <v>m</v>
      </c>
      <c r="L27" s="212" t="str">
        <f t="shared" si="8"/>
        <v>sTransS</v>
      </c>
    </row>
    <row r="28" spans="2:18" ht="13.8" thickBot="1" x14ac:dyDescent="0.3">
      <c r="B28" s="210"/>
      <c r="C28" s="221"/>
      <c r="D28" s="210"/>
      <c r="E28" s="210"/>
      <c r="I28" s="220" t="str">
        <f t="shared" si="7"/>
        <v>Bearing Stiffners [per one side of the girder]</v>
      </c>
      <c r="J28" s="239"/>
      <c r="K28" s="244"/>
      <c r="L28" s="212"/>
    </row>
    <row r="29" spans="2:18" ht="27" thickBot="1" x14ac:dyDescent="0.3">
      <c r="B29" s="222" t="s">
        <v>154</v>
      </c>
      <c r="F29" s="212"/>
      <c r="I29" s="212" t="str">
        <f t="shared" si="7"/>
        <v xml:space="preserve">Width </v>
      </c>
      <c r="J29" s="239">
        <f t="shared" ref="J29:L31" si="9">C60</f>
        <v>0.2</v>
      </c>
      <c r="K29" s="244" t="str">
        <f t="shared" si="9"/>
        <v>m</v>
      </c>
      <c r="L29" s="212" t="str">
        <f t="shared" si="9"/>
        <v>sBearW</v>
      </c>
    </row>
    <row r="30" spans="2:18" ht="13.8" thickBot="1" x14ac:dyDescent="0.3">
      <c r="B30" s="210" t="s">
        <v>141</v>
      </c>
      <c r="C30">
        <f>VLOOKUP(Automation_Steel_Superstructure!$C$2,Steel_Superstructure_IFC!$A$10:$CI$57,33)</f>
        <v>0</v>
      </c>
      <c r="D30" s="210" t="s">
        <v>63</v>
      </c>
      <c r="E30" s="210" t="s">
        <v>162</v>
      </c>
      <c r="F30" t="s">
        <v>156</v>
      </c>
      <c r="I30" s="212" t="str">
        <f t="shared" si="7"/>
        <v>Thickness</v>
      </c>
      <c r="J30" s="239">
        <f t="shared" si="9"/>
        <v>8.0000000000000002E-3</v>
      </c>
      <c r="K30" s="244" t="str">
        <f t="shared" si="9"/>
        <v>m</v>
      </c>
      <c r="L30" s="212" t="str">
        <f t="shared" si="9"/>
        <v>sBearT</v>
      </c>
    </row>
    <row r="31" spans="2:18" ht="13.8" thickBot="1" x14ac:dyDescent="0.3">
      <c r="B31" s="210" t="s">
        <v>142</v>
      </c>
      <c r="C31">
        <f>VLOOKUP(Automation_Steel_Superstructure!$C$2,Steel_Superstructure_IFC!$A$10:$CI$57,34)</f>
        <v>0</v>
      </c>
      <c r="D31" s="210" t="s">
        <v>63</v>
      </c>
      <c r="E31" s="210" t="s">
        <v>163</v>
      </c>
      <c r="I31" s="212" t="str">
        <f t="shared" si="7"/>
        <v>Spacing</v>
      </c>
      <c r="J31" s="239">
        <f t="shared" si="9"/>
        <v>0.15</v>
      </c>
      <c r="K31" s="244" t="str">
        <f t="shared" si="9"/>
        <v>m</v>
      </c>
      <c r="L31" s="212" t="str">
        <f t="shared" si="9"/>
        <v>sBearS</v>
      </c>
    </row>
    <row r="32" spans="2:18" ht="13.8" thickBot="1" x14ac:dyDescent="0.3">
      <c r="B32" s="210" t="s">
        <v>148</v>
      </c>
      <c r="C32">
        <f>VLOOKUP(Automation_Steel_Superstructure!$C$2,Steel_Superstructure_IFC!$A$10:$CI$57,36)</f>
        <v>0</v>
      </c>
      <c r="D32" s="210" t="s">
        <v>63</v>
      </c>
      <c r="E32" s="210" t="s">
        <v>168</v>
      </c>
      <c r="O32">
        <f>8+12+12</f>
        <v>32</v>
      </c>
    </row>
    <row r="33" spans="2:21" ht="13.8" thickBot="1" x14ac:dyDescent="0.3">
      <c r="B33" s="210" t="s">
        <v>143</v>
      </c>
      <c r="C33">
        <f>VLOOKUP(Automation_Steel_Superstructure!$C$2,Steel_Superstructure_IFC!$A$10:$CI$57,37)</f>
        <v>0</v>
      </c>
      <c r="D33" s="210" t="s">
        <v>63</v>
      </c>
      <c r="E33" s="210" t="s">
        <v>164</v>
      </c>
    </row>
    <row r="34" spans="2:21" ht="13.8" thickBot="1" x14ac:dyDescent="0.3">
      <c r="B34" s="210" t="s">
        <v>144</v>
      </c>
      <c r="C34">
        <f>VLOOKUP(Automation_Steel_Superstructure!$C$2,Steel_Superstructure_IFC!$A$10:$CI$57,37)</f>
        <v>0</v>
      </c>
      <c r="D34" s="210" t="s">
        <v>63</v>
      </c>
      <c r="E34" s="210" t="s">
        <v>165</v>
      </c>
      <c r="I34" t="s">
        <v>237</v>
      </c>
      <c r="J34" s="245">
        <f>C10</f>
        <v>6</v>
      </c>
      <c r="K34" s="240" t="s">
        <v>63</v>
      </c>
      <c r="L34" t="s">
        <v>238</v>
      </c>
      <c r="U34">
        <f>12+12+8</f>
        <v>32</v>
      </c>
    </row>
    <row r="35" spans="2:21" ht="27" thickBot="1" x14ac:dyDescent="0.3">
      <c r="B35" s="210" t="s">
        <v>145</v>
      </c>
      <c r="C35">
        <f>VLOOKUP(Automation_Steel_Superstructure!$C$2,Steel_Superstructure_IFC!$A$10:$CI$57,38)</f>
        <v>0</v>
      </c>
      <c r="D35" s="210" t="s">
        <v>63</v>
      </c>
      <c r="E35" s="210" t="s">
        <v>166</v>
      </c>
      <c r="I35" t="s">
        <v>239</v>
      </c>
      <c r="J35" s="245">
        <f>C11</f>
        <v>0.08</v>
      </c>
      <c r="K35" s="240" t="s">
        <v>63</v>
      </c>
      <c r="L35" t="s">
        <v>240</v>
      </c>
    </row>
    <row r="36" spans="2:21" ht="27" thickBot="1" x14ac:dyDescent="0.3">
      <c r="B36" s="210" t="s">
        <v>192</v>
      </c>
      <c r="C36">
        <f>VLOOKUP(Automation_Steel_Superstructure!$C$2,Steel_Superstructure_IFC!$A$10:$CI$57,39)</f>
        <v>0</v>
      </c>
      <c r="D36" s="210" t="s">
        <v>63</v>
      </c>
      <c r="E36" s="210" t="s">
        <v>193</v>
      </c>
    </row>
    <row r="37" spans="2:21" x14ac:dyDescent="0.25">
      <c r="B37" s="217"/>
      <c r="D37" s="216"/>
      <c r="E37" s="216"/>
    </row>
    <row r="38" spans="2:21" ht="27" thickBot="1" x14ac:dyDescent="0.3">
      <c r="B38" s="222" t="s">
        <v>153</v>
      </c>
      <c r="I38" s="224"/>
    </row>
    <row r="39" spans="2:21" ht="13.8" thickBot="1" x14ac:dyDescent="0.3">
      <c r="B39" s="210" t="s">
        <v>141</v>
      </c>
      <c r="C39">
        <f>VLOOKUP(Automation_Steel_Superstructure!$C$2,Steel_Superstructure_IFC!$A$10:$CI$57,40)</f>
        <v>0.35</v>
      </c>
      <c r="D39" s="210" t="s">
        <v>63</v>
      </c>
      <c r="E39" s="210" t="s">
        <v>169</v>
      </c>
      <c r="I39" s="220" t="str">
        <f>B3</f>
        <v>Parameter description</v>
      </c>
      <c r="J39" s="220"/>
      <c r="K39" s="220"/>
      <c r="L39" s="220" t="str">
        <f t="shared" ref="L39" si="10">E3</f>
        <v>VBA Variable Name</v>
      </c>
    </row>
    <row r="40" spans="2:21" ht="13.8" thickBot="1" x14ac:dyDescent="0.3">
      <c r="B40" s="210" t="s">
        <v>142</v>
      </c>
      <c r="C40">
        <f>VLOOKUP(Automation_Steel_Superstructure!$C$2,Steel_Superstructure_IFC!$A$10:$CI$57,41)</f>
        <v>1.7999999999999999E-2</v>
      </c>
      <c r="D40" s="210" t="s">
        <v>63</v>
      </c>
      <c r="E40" s="210" t="s">
        <v>170</v>
      </c>
      <c r="I40" s="220" t="str">
        <f t="shared" ref="I40:I45" si="11">B4</f>
        <v>General details</v>
      </c>
      <c r="J40" s="220"/>
      <c r="K40" s="220"/>
      <c r="L40" s="220"/>
    </row>
    <row r="41" spans="2:21" ht="13.8" thickBot="1" x14ac:dyDescent="0.3">
      <c r="B41" s="210" t="s">
        <v>148</v>
      </c>
      <c r="C41">
        <f>VLOOKUP(Automation_Steel_Superstructure!$C$2,Steel_Superstructure_IFC!$A$10:$CI$57,42)</f>
        <v>1.01</v>
      </c>
      <c r="D41" s="210" t="s">
        <v>63</v>
      </c>
      <c r="E41" s="210" t="s">
        <v>171</v>
      </c>
      <c r="I41" s="212" t="str">
        <f t="shared" si="11"/>
        <v>Total Width of bridge deck</v>
      </c>
      <c r="J41" s="212">
        <f t="shared" ref="J41:J45" si="12">C5</f>
        <v>10.5</v>
      </c>
      <c r="K41" s="212" t="str">
        <f t="shared" ref="K41:K45" si="13">D5</f>
        <v>m</v>
      </c>
      <c r="L41" s="212" t="str">
        <f t="shared" ref="L41:L45" si="14">E5</f>
        <v>deckWidth</v>
      </c>
    </row>
    <row r="42" spans="2:21" ht="13.8" thickBot="1" x14ac:dyDescent="0.3">
      <c r="B42" s="210" t="s">
        <v>143</v>
      </c>
      <c r="C42">
        <f>VLOOKUP(Automation_Steel_Superstructure!$C$2,Steel_Superstructure_IFC!$A$10:$CI$57,43)</f>
        <v>1.2E-2</v>
      </c>
      <c r="D42" s="210" t="s">
        <v>63</v>
      </c>
      <c r="E42" s="210" t="s">
        <v>172</v>
      </c>
      <c r="I42" s="212" t="str">
        <f t="shared" si="11"/>
        <v>Total Span of bridge deck</v>
      </c>
      <c r="J42" s="212">
        <f t="shared" si="12"/>
        <v>20</v>
      </c>
      <c r="K42" s="212" t="str">
        <f t="shared" si="13"/>
        <v>m</v>
      </c>
      <c r="L42" s="212" t="str">
        <f t="shared" si="14"/>
        <v>deckSpan</v>
      </c>
    </row>
    <row r="43" spans="2:21" ht="13.8" thickBot="1" x14ac:dyDescent="0.3">
      <c r="B43" s="210" t="s">
        <v>144</v>
      </c>
      <c r="C43">
        <f>VLOOKUP(Automation_Steel_Superstructure!$C$2,Steel_Superstructure_IFC!$A$10:$CI$57,44)</f>
        <v>0.4</v>
      </c>
      <c r="D43" s="210" t="s">
        <v>63</v>
      </c>
      <c r="E43" s="210" t="s">
        <v>173</v>
      </c>
      <c r="I43" s="212" t="str">
        <f t="shared" si="11"/>
        <v>Deck Slab Thickness</v>
      </c>
      <c r="J43" s="212">
        <f t="shared" si="12"/>
        <v>0.23</v>
      </c>
      <c r="K43" s="212" t="str">
        <f t="shared" si="13"/>
        <v>m</v>
      </c>
      <c r="L43" s="212" t="str">
        <f t="shared" si="14"/>
        <v>slabThk</v>
      </c>
    </row>
    <row r="44" spans="2:21" ht="27" thickBot="1" x14ac:dyDescent="0.3">
      <c r="B44" s="210" t="s">
        <v>145</v>
      </c>
      <c r="C44">
        <f>VLOOKUP(Automation_Steel_Superstructure!$C$2,Steel_Superstructure_IFC!$A$10:$CI$57,45)</f>
        <v>2.1999999999999999E-2</v>
      </c>
      <c r="D44" s="210" t="s">
        <v>63</v>
      </c>
      <c r="E44" s="210" t="s">
        <v>174</v>
      </c>
      <c r="I44" s="212" t="str">
        <f t="shared" si="11"/>
        <v>Number of Girders</v>
      </c>
      <c r="J44" s="212">
        <f t="shared" si="12"/>
        <v>4</v>
      </c>
      <c r="K44" s="212" t="str">
        <f t="shared" si="13"/>
        <v>Nos.</v>
      </c>
      <c r="L44" s="212" t="str">
        <f t="shared" si="14"/>
        <v>numGirders</v>
      </c>
    </row>
    <row r="45" spans="2:21" ht="27" thickBot="1" x14ac:dyDescent="0.3">
      <c r="B45" s="210" t="s">
        <v>194</v>
      </c>
      <c r="C45">
        <f>VLOOKUP(Automation_Steel_Superstructure!$C$2,Steel_Superstructure_IFC!$A$10:$CI$57,46)</f>
        <v>12</v>
      </c>
      <c r="D45" s="210" t="s">
        <v>63</v>
      </c>
      <c r="E45" s="210" t="s">
        <v>191</v>
      </c>
      <c r="I45" s="212" t="str">
        <f t="shared" si="11"/>
        <v>C/C spacing between Girders</v>
      </c>
      <c r="J45" s="212">
        <f t="shared" si="12"/>
        <v>2.75</v>
      </c>
      <c r="K45" s="212" t="str">
        <f t="shared" si="13"/>
        <v>m</v>
      </c>
      <c r="L45" s="212" t="str">
        <f t="shared" si="14"/>
        <v>Spacing</v>
      </c>
    </row>
    <row r="46" spans="2:21" x14ac:dyDescent="0.25">
      <c r="B46" s="217"/>
      <c r="D46" s="216"/>
      <c r="E46" s="216"/>
      <c r="I46" s="220"/>
      <c r="J46" s="220"/>
      <c r="K46" s="220"/>
      <c r="L46" s="220"/>
    </row>
    <row r="47" spans="2:21" ht="27" thickBot="1" x14ac:dyDescent="0.3">
      <c r="B47" s="222" t="s">
        <v>155</v>
      </c>
      <c r="I47" s="220" t="str">
        <f t="shared" ref="I47:I54" si="15">B12</f>
        <v>Bracing properties.</v>
      </c>
      <c r="J47" s="220"/>
      <c r="K47" s="220"/>
      <c r="L47" s="220"/>
    </row>
    <row r="48" spans="2:21" ht="13.8" thickBot="1" x14ac:dyDescent="0.3">
      <c r="B48" s="210" t="s">
        <v>141</v>
      </c>
      <c r="C48" s="223">
        <f>VLOOKUP(Automation_Steel_Superstructure!$C$2,Steel_Superstructure_IFC!$A$10:$CI$57,63)</f>
        <v>0</v>
      </c>
      <c r="D48" s="210" t="s">
        <v>63</v>
      </c>
      <c r="E48" s="210" t="s">
        <v>175</v>
      </c>
      <c r="I48" s="212" t="str">
        <f t="shared" si="15"/>
        <v>Spacing between bracings</v>
      </c>
      <c r="J48" s="212">
        <f>C13</f>
        <v>4</v>
      </c>
      <c r="K48" s="212" t="str">
        <f>D13</f>
        <v>m</v>
      </c>
      <c r="L48" s="212" t="str">
        <f>E13</f>
        <v>bSpacing</v>
      </c>
    </row>
    <row r="49" spans="2:14" ht="13.8" thickBot="1" x14ac:dyDescent="0.3">
      <c r="B49" s="210" t="s">
        <v>142</v>
      </c>
      <c r="C49" s="223">
        <f>VLOOKUP(Automation_Steel_Superstructure!$C$2,Steel_Superstructure_IFC!$A$10:$CI$57,64)</f>
        <v>0.42499999999999999</v>
      </c>
      <c r="D49" s="210" t="s">
        <v>63</v>
      </c>
      <c r="E49" s="210" t="s">
        <v>176</v>
      </c>
      <c r="I49" s="212" t="str">
        <f t="shared" si="15"/>
        <v>No. of cross-bracings</v>
      </c>
      <c r="J49" s="212">
        <f t="shared" ref="J49:J54" si="16">C14</f>
        <v>6</v>
      </c>
      <c r="K49" s="212"/>
      <c r="L49" s="212" t="str">
        <f t="shared" ref="L49:L54" si="17">E14</f>
        <v>bNos</v>
      </c>
    </row>
    <row r="50" spans="2:14" ht="13.8" thickBot="1" x14ac:dyDescent="0.3">
      <c r="B50" s="210" t="s">
        <v>148</v>
      </c>
      <c r="C50" s="223">
        <f>VLOOKUP(Automation_Steel_Superstructure!$C$2,Steel_Superstructure_IFC!$A$10:$CI$57,65)</f>
        <v>2.1999999999999999E-2</v>
      </c>
      <c r="D50" s="210" t="s">
        <v>63</v>
      </c>
      <c r="E50" s="210" t="s">
        <v>177</v>
      </c>
      <c r="I50" s="212" t="str">
        <f t="shared" si="15"/>
        <v>bracing Section</v>
      </c>
      <c r="J50" s="212" t="str">
        <f t="shared" si="16"/>
        <v>90 x 90 x 10</v>
      </c>
      <c r="K50" s="212"/>
      <c r="L50" s="212" t="str">
        <f t="shared" si="17"/>
        <v>Section</v>
      </c>
    </row>
    <row r="51" spans="2:14" ht="13.8" thickBot="1" x14ac:dyDescent="0.3">
      <c r="B51" s="210" t="s">
        <v>143</v>
      </c>
      <c r="C51" s="223">
        <f>VLOOKUP(Automation_Steel_Superstructure!$C$2,Steel_Superstructure_IFC!$A$10:$CI$57,66)</f>
        <v>1</v>
      </c>
      <c r="D51" s="210" t="s">
        <v>63</v>
      </c>
      <c r="E51" s="210" t="s">
        <v>178</v>
      </c>
      <c r="I51" s="212" t="str">
        <f t="shared" si="15"/>
        <v>Width of bracing</v>
      </c>
      <c r="J51" s="212">
        <f t="shared" si="16"/>
        <v>0.09</v>
      </c>
      <c r="K51" s="212"/>
      <c r="L51" s="212" t="str">
        <f t="shared" si="17"/>
        <v>bWidth</v>
      </c>
    </row>
    <row r="52" spans="2:14" ht="13.8" thickBot="1" x14ac:dyDescent="0.3">
      <c r="B52" s="210" t="s">
        <v>144</v>
      </c>
      <c r="C52" s="223">
        <f>VLOOKUP(Automation_Steel_Superstructure!$C$2,Steel_Superstructure_IFC!$A$10:$CI$57,67)</f>
        <v>0.01</v>
      </c>
      <c r="D52" s="210" t="s">
        <v>63</v>
      </c>
      <c r="E52" s="210" t="s">
        <v>179</v>
      </c>
      <c r="I52" s="220" t="str">
        <f t="shared" si="15"/>
        <v>Length of bracing</v>
      </c>
      <c r="J52" s="220">
        <f t="shared" si="16"/>
        <v>0.09</v>
      </c>
      <c r="K52" s="220" t="str">
        <f>D17</f>
        <v>m</v>
      </c>
      <c r="L52" s="220" t="str">
        <f t="shared" si="17"/>
        <v>bLength</v>
      </c>
    </row>
    <row r="53" spans="2:14" ht="27" thickBot="1" x14ac:dyDescent="0.3">
      <c r="B53" s="210" t="s">
        <v>145</v>
      </c>
      <c r="C53" s="223">
        <f>VLOOKUP(Automation_Steel_Superstructure!$C$2,Steel_Superstructure_IFC!$A$10:$CI$57,68)</f>
        <v>0.5</v>
      </c>
      <c r="D53" s="210" t="s">
        <v>63</v>
      </c>
      <c r="E53" s="210" t="s">
        <v>180</v>
      </c>
      <c r="I53" s="220" t="str">
        <f t="shared" si="15"/>
        <v>Thickness of bracing</v>
      </c>
      <c r="J53" s="220">
        <f t="shared" si="16"/>
        <v>0.01</v>
      </c>
      <c r="K53" s="220" t="str">
        <f>D18</f>
        <v>m</v>
      </c>
      <c r="L53" s="220" t="str">
        <f t="shared" si="17"/>
        <v>bthickness</v>
      </c>
    </row>
    <row r="54" spans="2:14" ht="13.8" thickBot="1" x14ac:dyDescent="0.3">
      <c r="B54" s="210"/>
      <c r="C54" s="223"/>
      <c r="D54" s="210"/>
      <c r="E54" s="210"/>
      <c r="I54" s="220">
        <f t="shared" si="15"/>
        <v>0</v>
      </c>
      <c r="J54" s="220">
        <f t="shared" si="16"/>
        <v>0</v>
      </c>
      <c r="K54" s="220">
        <f>D19</f>
        <v>0</v>
      </c>
      <c r="L54" s="220">
        <f t="shared" si="17"/>
        <v>0</v>
      </c>
    </row>
    <row r="55" spans="2:14" ht="40.200000000000003" thickBot="1" x14ac:dyDescent="0.3">
      <c r="B55" s="222" t="s">
        <v>197</v>
      </c>
      <c r="I55" s="220" t="str">
        <f t="shared" ref="I55:I61" si="18">B29</f>
        <v>Intermediate portion girder properties</v>
      </c>
      <c r="J55" s="220"/>
      <c r="K55" s="220"/>
      <c r="L55" s="220"/>
    </row>
    <row r="56" spans="2:14" ht="13.8" thickBot="1" x14ac:dyDescent="0.3">
      <c r="B56" s="217" t="s">
        <v>33</v>
      </c>
      <c r="C56">
        <f>VLOOKUP(Automation_Steel_Superstructure!$C$2,Steel_Superstructure_IFC!$A$10:$CI$57,20)</f>
        <v>0.2</v>
      </c>
      <c r="D56" s="210" t="s">
        <v>63</v>
      </c>
      <c r="E56" s="216" t="s">
        <v>183</v>
      </c>
      <c r="I56" s="212" t="str">
        <f t="shared" si="18"/>
        <v>Top Flange Width</v>
      </c>
      <c r="J56" s="212">
        <f t="shared" ref="J56:L61" si="19">C30</f>
        <v>0</v>
      </c>
      <c r="K56" s="212" t="str">
        <f t="shared" si="19"/>
        <v>m</v>
      </c>
      <c r="L56" s="212" t="str">
        <f t="shared" si="19"/>
        <v>gTopWInter</v>
      </c>
    </row>
    <row r="57" spans="2:14" ht="13.8" thickBot="1" x14ac:dyDescent="0.3">
      <c r="B57" s="217" t="s">
        <v>181</v>
      </c>
      <c r="C57">
        <f>VLOOKUP(Automation_Steel_Superstructure!$C$2,Steel_Superstructure_IFC!$A$10:$CI$57,21)</f>
        <v>8.0000000000000002E-3</v>
      </c>
      <c r="D57" s="210" t="s">
        <v>63</v>
      </c>
      <c r="E57" s="216" t="s">
        <v>184</v>
      </c>
      <c r="I57" s="212" t="str">
        <f t="shared" si="18"/>
        <v>Top Flange Thickness</v>
      </c>
      <c r="J57" s="212">
        <f t="shared" si="19"/>
        <v>0</v>
      </c>
      <c r="K57" s="212" t="str">
        <f t="shared" si="19"/>
        <v>m</v>
      </c>
      <c r="L57" s="212" t="str">
        <f t="shared" si="19"/>
        <v>gTopTInter</v>
      </c>
    </row>
    <row r="58" spans="2:14" ht="13.8" thickBot="1" x14ac:dyDescent="0.3">
      <c r="B58" s="217" t="s">
        <v>35</v>
      </c>
      <c r="C58">
        <f>VLOOKUP(Automation_Steel_Superstructure!$C$2,Steel_Superstructure_IFC!$A$10:$CI$57,22)</f>
        <v>1.5</v>
      </c>
      <c r="D58" s="210" t="s">
        <v>63</v>
      </c>
      <c r="E58" s="216" t="s">
        <v>185</v>
      </c>
      <c r="I58" s="212" t="str">
        <f t="shared" si="18"/>
        <v>Web Depth</v>
      </c>
      <c r="J58" s="212">
        <f t="shared" si="19"/>
        <v>0</v>
      </c>
      <c r="K58" s="212" t="str">
        <f t="shared" si="19"/>
        <v>m</v>
      </c>
      <c r="L58" s="212" t="str">
        <f t="shared" si="19"/>
        <v>gWebDInter</v>
      </c>
    </row>
    <row r="59" spans="2:14" ht="27" thickBot="1" x14ac:dyDescent="0.3">
      <c r="B59" s="222" t="s">
        <v>198</v>
      </c>
      <c r="I59" s="212" t="str">
        <f t="shared" si="18"/>
        <v>Web Thickness</v>
      </c>
      <c r="J59" s="212">
        <f t="shared" si="19"/>
        <v>0</v>
      </c>
      <c r="K59" s="212" t="str">
        <f t="shared" si="19"/>
        <v>m</v>
      </c>
      <c r="L59" s="212" t="str">
        <f t="shared" si="19"/>
        <v>gWebTInter</v>
      </c>
    </row>
    <row r="60" spans="2:14" ht="13.8" thickBot="1" x14ac:dyDescent="0.3">
      <c r="B60" s="217" t="s">
        <v>182</v>
      </c>
      <c r="C60">
        <f>VLOOKUP(Automation_Steel_Superstructure!$C$2,Steel_Superstructure_IFC!$A$10:$CI$57,23)</f>
        <v>0.2</v>
      </c>
      <c r="D60" s="210" t="s">
        <v>63</v>
      </c>
      <c r="E60" s="216" t="s">
        <v>186</v>
      </c>
      <c r="I60" s="212" t="str">
        <f t="shared" si="18"/>
        <v>Bottom Flange Width</v>
      </c>
      <c r="J60" s="212">
        <f t="shared" si="19"/>
        <v>0</v>
      </c>
      <c r="K60" s="212" t="str">
        <f t="shared" si="19"/>
        <v>m</v>
      </c>
      <c r="L60" s="212" t="str">
        <f t="shared" si="19"/>
        <v>gBotWInter</v>
      </c>
    </row>
    <row r="61" spans="2:14" ht="13.8" thickBot="1" x14ac:dyDescent="0.3">
      <c r="B61" s="217" t="s">
        <v>181</v>
      </c>
      <c r="C61">
        <f>VLOOKUP(Automation_Steel_Superstructure!$C$2,Steel_Superstructure_IFC!$A$10:$CI$57,24)</f>
        <v>8.0000000000000002E-3</v>
      </c>
      <c r="D61" s="210" t="s">
        <v>63</v>
      </c>
      <c r="E61" s="216" t="s">
        <v>187</v>
      </c>
      <c r="I61" s="212" t="str">
        <f t="shared" si="18"/>
        <v>Bottom Flange Thickness</v>
      </c>
      <c r="J61" s="212">
        <f t="shared" si="19"/>
        <v>0</v>
      </c>
      <c r="K61" s="212" t="str">
        <f t="shared" si="19"/>
        <v>m</v>
      </c>
      <c r="L61" s="212" t="str">
        <f t="shared" si="19"/>
        <v>gBotTInter</v>
      </c>
      <c r="N61" s="212"/>
    </row>
    <row r="62" spans="2:14" ht="13.8" thickBot="1" x14ac:dyDescent="0.3">
      <c r="B62" s="217" t="s">
        <v>35</v>
      </c>
      <c r="C62">
        <f>VLOOKUP(Automation_Steel_Superstructure!$C$2,Steel_Superstructure_IFC!$A$10:$CI$57,25)</f>
        <v>0.15</v>
      </c>
      <c r="D62" s="210" t="s">
        <v>63</v>
      </c>
      <c r="E62" s="216" t="s">
        <v>188</v>
      </c>
      <c r="I62" s="220"/>
      <c r="J62" s="220"/>
      <c r="K62" s="220"/>
      <c r="L62" s="220"/>
    </row>
    <row r="63" spans="2:14" x14ac:dyDescent="0.25">
      <c r="I63" s="220" t="str">
        <f t="shared" ref="I63:I70" si="20">B55</f>
        <v>Transverse Stiffeners [per one side of the girder]</v>
      </c>
      <c r="J63" s="220"/>
      <c r="K63" s="220"/>
      <c r="L63" s="220"/>
    </row>
    <row r="64" spans="2:14" x14ac:dyDescent="0.25">
      <c r="I64" s="212" t="str">
        <f t="shared" si="20"/>
        <v>Width</v>
      </c>
      <c r="J64" s="212">
        <f t="shared" ref="J64:L66" si="21">C56</f>
        <v>0.2</v>
      </c>
      <c r="K64" s="212" t="str">
        <f t="shared" si="21"/>
        <v>m</v>
      </c>
      <c r="L64" s="212" t="str">
        <f t="shared" si="21"/>
        <v>sTransW</v>
      </c>
    </row>
    <row r="65" spans="2:19" x14ac:dyDescent="0.25">
      <c r="B65" s="226" t="s">
        <v>6</v>
      </c>
      <c r="I65" s="212" t="str">
        <f t="shared" si="20"/>
        <v>Thickness</v>
      </c>
      <c r="J65" s="212">
        <f t="shared" si="21"/>
        <v>8.0000000000000002E-3</v>
      </c>
      <c r="K65" s="212" t="str">
        <f t="shared" si="21"/>
        <v>m</v>
      </c>
      <c r="L65" s="212" t="str">
        <f t="shared" si="21"/>
        <v>sTransT</v>
      </c>
    </row>
    <row r="66" spans="2:19" x14ac:dyDescent="0.25">
      <c r="B66" s="226" t="s">
        <v>27</v>
      </c>
      <c r="I66" s="212" t="str">
        <f t="shared" si="20"/>
        <v>Spacing</v>
      </c>
      <c r="J66" s="212">
        <f t="shared" si="21"/>
        <v>1.5</v>
      </c>
      <c r="K66" s="212" t="str">
        <f t="shared" si="21"/>
        <v>m</v>
      </c>
      <c r="L66" s="212" t="str">
        <f t="shared" si="21"/>
        <v>sTransS</v>
      </c>
    </row>
    <row r="67" spans="2:19" x14ac:dyDescent="0.25">
      <c r="B67" t="s">
        <v>40</v>
      </c>
      <c r="C67">
        <f>VLOOKUP(Automation_Steel_Superstructure!$C$2,Steel_Superstructure_IFC!$A$10:$CI$57,70)</f>
        <v>0</v>
      </c>
      <c r="E67" s="212" t="s">
        <v>220</v>
      </c>
      <c r="I67" s="220" t="str">
        <f t="shared" si="20"/>
        <v>Bearing Stiffners [per one side of the girder]</v>
      </c>
      <c r="J67" s="220"/>
      <c r="K67" s="220"/>
      <c r="L67" s="220"/>
    </row>
    <row r="68" spans="2:19" x14ac:dyDescent="0.25">
      <c r="B68" s="212" t="s">
        <v>202</v>
      </c>
      <c r="C68">
        <f>VLOOKUP(Automation_Steel_Superstructure!$C$2,Steel_Superstructure_IFC!$A$10:$CI$57,71)</f>
        <v>4</v>
      </c>
      <c r="D68" s="212" t="s">
        <v>63</v>
      </c>
      <c r="E68" s="212" t="s">
        <v>221</v>
      </c>
      <c r="I68" s="212" t="str">
        <f t="shared" si="20"/>
        <v xml:space="preserve">Width </v>
      </c>
      <c r="J68" s="212">
        <f t="shared" ref="J68:L70" si="22">C60</f>
        <v>0.2</v>
      </c>
      <c r="K68" s="212" t="str">
        <f t="shared" si="22"/>
        <v>m</v>
      </c>
      <c r="L68" s="212" t="str">
        <f t="shared" si="22"/>
        <v>sBearW</v>
      </c>
    </row>
    <row r="69" spans="2:19" x14ac:dyDescent="0.25">
      <c r="B69" s="212" t="s">
        <v>203</v>
      </c>
      <c r="C69">
        <f>VLOOKUP(Automation_Steel_Superstructure!$C$2,Steel_Superstructure_IFC!$A$10:$CI$57,72)</f>
        <v>10</v>
      </c>
      <c r="D69" s="212" t="s">
        <v>63</v>
      </c>
      <c r="E69" s="212" t="s">
        <v>222</v>
      </c>
      <c r="I69" s="212" t="str">
        <f t="shared" si="20"/>
        <v>Thickness</v>
      </c>
      <c r="J69" s="212">
        <f t="shared" si="22"/>
        <v>8.0000000000000002E-3</v>
      </c>
      <c r="K69" s="212" t="str">
        <f t="shared" si="22"/>
        <v>m</v>
      </c>
      <c r="L69" s="212" t="str">
        <f t="shared" si="22"/>
        <v>sBearT</v>
      </c>
    </row>
    <row r="70" spans="2:19" x14ac:dyDescent="0.25">
      <c r="B70" s="212" t="s">
        <v>204</v>
      </c>
      <c r="C70">
        <f>VLOOKUP(Automation_Steel_Superstructure!$C$2,Steel_Superstructure_IFC!$A$10:$CI$57,73)</f>
        <v>0.75</v>
      </c>
      <c r="E70" s="212" t="s">
        <v>223</v>
      </c>
      <c r="I70" s="212" t="str">
        <f t="shared" si="20"/>
        <v>Spacing</v>
      </c>
      <c r="J70" s="212">
        <f t="shared" si="22"/>
        <v>0.15</v>
      </c>
      <c r="K70" s="212" t="str">
        <f t="shared" si="22"/>
        <v>m</v>
      </c>
      <c r="L70" s="212" t="str">
        <f t="shared" si="22"/>
        <v>sBearS</v>
      </c>
      <c r="P70" s="17"/>
      <c r="Q70" s="17"/>
      <c r="R70" s="17"/>
      <c r="S70" s="17"/>
    </row>
    <row r="71" spans="2:19" x14ac:dyDescent="0.25">
      <c r="I71" s="220"/>
      <c r="J71" s="220"/>
      <c r="K71" s="220"/>
      <c r="L71" s="220"/>
    </row>
    <row r="72" spans="2:19" x14ac:dyDescent="0.25">
      <c r="B72" s="226" t="s">
        <v>28</v>
      </c>
      <c r="I72" s="224"/>
      <c r="J72" s="220"/>
      <c r="K72" s="220"/>
      <c r="L72" s="220"/>
    </row>
    <row r="73" spans="2:19" x14ac:dyDescent="0.25">
      <c r="B73" s="212" t="s">
        <v>44</v>
      </c>
      <c r="C73">
        <f>VLOOKUP(Automation_Steel_Superstructure!$C$2,Steel_Superstructure_IFC!$A$10:$CI$57,74)</f>
        <v>8.0000000000000002E-3</v>
      </c>
      <c r="D73" s="212" t="s">
        <v>63</v>
      </c>
      <c r="E73" s="212" t="s">
        <v>224</v>
      </c>
      <c r="I73" s="220" t="str">
        <f>I3</f>
        <v>Parameter description</v>
      </c>
      <c r="J73" s="220"/>
      <c r="K73" s="220"/>
      <c r="L73" s="220" t="str">
        <f t="shared" ref="L73" si="23">L3</f>
        <v>VBA Variable Name</v>
      </c>
    </row>
    <row r="74" spans="2:19" x14ac:dyDescent="0.25">
      <c r="B74" s="212" t="s">
        <v>217</v>
      </c>
      <c r="C74">
        <f>VLOOKUP(Automation_Steel_Superstructure!$C$2,Steel_Superstructure_IFC!$A$10:$CI$57,75)</f>
        <v>1.05</v>
      </c>
      <c r="I74" s="212" t="str">
        <f t="shared" ref="I74" si="24">I4</f>
        <v>General details</v>
      </c>
      <c r="J74" s="212"/>
      <c r="K74" s="212"/>
      <c r="L74" s="212"/>
    </row>
    <row r="75" spans="2:19" x14ac:dyDescent="0.25">
      <c r="B75" s="212" t="s">
        <v>218</v>
      </c>
      <c r="C75" t="e">
        <f>VALUE(_xlfn.TEXTBEFORE(C74,"X"))</f>
        <v>#N/A</v>
      </c>
      <c r="D75" s="212" t="s">
        <v>63</v>
      </c>
      <c r="E75" s="212" t="s">
        <v>225</v>
      </c>
      <c r="I75" s="212" t="str">
        <f t="shared" ref="I75:L75" si="25">I5</f>
        <v>Total Width of bridge deck</v>
      </c>
      <c r="J75" s="212">
        <f t="shared" si="25"/>
        <v>10.5</v>
      </c>
      <c r="K75" s="212" t="str">
        <f t="shared" si="25"/>
        <v>m</v>
      </c>
      <c r="L75" s="212" t="str">
        <f t="shared" si="25"/>
        <v>deckWidth</v>
      </c>
    </row>
    <row r="76" spans="2:19" x14ac:dyDescent="0.25">
      <c r="B76" s="212" t="s">
        <v>219</v>
      </c>
      <c r="C76" t="e">
        <f>VALUE(_xlfn.TEXTAFTER(C74," X ",1))</f>
        <v>#N/A</v>
      </c>
      <c r="D76" s="212" t="s">
        <v>63</v>
      </c>
      <c r="E76" s="212" t="s">
        <v>226</v>
      </c>
      <c r="I76" s="212" t="str">
        <f t="shared" ref="I76:L76" si="26">I6</f>
        <v>Total Span of bridge deck</v>
      </c>
      <c r="J76" s="212">
        <f t="shared" si="26"/>
        <v>20</v>
      </c>
      <c r="K76" s="212" t="str">
        <f t="shared" si="26"/>
        <v>m</v>
      </c>
      <c r="L76" s="212" t="str">
        <f t="shared" si="26"/>
        <v>deckSpan</v>
      </c>
    </row>
    <row r="77" spans="2:19" x14ac:dyDescent="0.25">
      <c r="B77" s="212" t="s">
        <v>46</v>
      </c>
      <c r="C77" t="str">
        <f>VLOOKUP(Automation_Steel_Superstructure!$C$2,Steel_Superstructure_IFC!$A$10:$CI$57,76)</f>
        <v>3.8 X 3.8</v>
      </c>
      <c r="D77" s="212" t="s">
        <v>63</v>
      </c>
      <c r="E77" s="212" t="s">
        <v>227</v>
      </c>
      <c r="I77" s="212" t="str">
        <f t="shared" ref="I77:L77" si="27">I7</f>
        <v>Deck Slab Thickness</v>
      </c>
      <c r="J77" s="212">
        <f t="shared" si="27"/>
        <v>0.23</v>
      </c>
      <c r="K77" s="212" t="str">
        <f t="shared" si="27"/>
        <v>m</v>
      </c>
      <c r="L77" s="212" t="str">
        <f t="shared" si="27"/>
        <v>slabThk</v>
      </c>
    </row>
    <row r="78" spans="2:19" x14ac:dyDescent="0.25">
      <c r="B78" s="212" t="s">
        <v>43</v>
      </c>
      <c r="C78">
        <f>VLOOKUP(Automation_Steel_Superstructure!$C$2,Steel_Superstructure_IFC!$A$10:$CI$57,77)</f>
        <v>0.1</v>
      </c>
      <c r="E78" s="212" t="s">
        <v>228</v>
      </c>
      <c r="I78" s="212" t="str">
        <f t="shared" ref="I78:L78" si="28">I8</f>
        <v>Number of Girders</v>
      </c>
      <c r="J78" s="212">
        <f t="shared" si="28"/>
        <v>4</v>
      </c>
      <c r="K78" s="212" t="str">
        <f t="shared" si="28"/>
        <v>Nos.</v>
      </c>
      <c r="L78" s="212" t="str">
        <f t="shared" si="28"/>
        <v>numGirders</v>
      </c>
      <c r="O78" s="17"/>
      <c r="Q78" s="17"/>
    </row>
    <row r="79" spans="2:19" x14ac:dyDescent="0.25">
      <c r="I79" s="212" t="str">
        <f t="shared" ref="I79:L79" si="29">I9</f>
        <v>C/C spacing between Girders</v>
      </c>
      <c r="J79" s="212">
        <f t="shared" si="29"/>
        <v>2.75</v>
      </c>
      <c r="K79" s="212" t="str">
        <f t="shared" si="29"/>
        <v>m</v>
      </c>
      <c r="L79" s="212" t="str">
        <f t="shared" si="29"/>
        <v>Spacing</v>
      </c>
      <c r="O79" s="17"/>
      <c r="Q79" s="17"/>
    </row>
    <row r="80" spans="2:19" x14ac:dyDescent="0.25">
      <c r="B80" s="220" t="s">
        <v>29</v>
      </c>
      <c r="I80" s="220"/>
      <c r="J80" s="220"/>
      <c r="K80" s="220"/>
      <c r="L80" s="220"/>
      <c r="O80" s="17"/>
      <c r="Q80" s="17"/>
    </row>
    <row r="81" spans="2:15" x14ac:dyDescent="0.25">
      <c r="B81" t="s">
        <v>47</v>
      </c>
      <c r="C81">
        <f>VLOOKUP(Automation_Steel_Superstructure!$C$2,Steel_Superstructure_IFC!$A$10:$CI$57,79)</f>
        <v>0</v>
      </c>
      <c r="D81" s="212" t="s">
        <v>63</v>
      </c>
      <c r="E81" s="212" t="s">
        <v>229</v>
      </c>
      <c r="I81" s="220" t="str">
        <f t="shared" ref="I81" si="30">I11</f>
        <v>Bracing properties.</v>
      </c>
      <c r="J81" s="220"/>
      <c r="K81" s="220"/>
      <c r="L81" s="220"/>
      <c r="O81" s="17"/>
    </row>
    <row r="82" spans="2:15" x14ac:dyDescent="0.25">
      <c r="B82" t="s">
        <v>48</v>
      </c>
      <c r="C82">
        <f>VLOOKUP(Automation_Steel_Superstructure!$C$2,Steel_Superstructure_IFC!$A$10:$CI$57,80)</f>
        <v>6</v>
      </c>
      <c r="D82" s="212" t="s">
        <v>63</v>
      </c>
      <c r="E82" s="212" t="s">
        <v>230</v>
      </c>
      <c r="I82" s="212" t="str">
        <f t="shared" ref="I82:L85" si="31">I12</f>
        <v>bracing Section</v>
      </c>
      <c r="J82" s="212" t="str">
        <f t="shared" si="31"/>
        <v>90 x 90 x 10</v>
      </c>
      <c r="K82" s="212">
        <f t="shared" si="31"/>
        <v>0</v>
      </c>
      <c r="L82" s="212" t="str">
        <f t="shared" si="31"/>
        <v>Section</v>
      </c>
    </row>
    <row r="83" spans="2:15" x14ac:dyDescent="0.25">
      <c r="I83" s="212" t="str">
        <f t="shared" si="31"/>
        <v>Width of bracing</v>
      </c>
      <c r="J83" s="212">
        <f t="shared" si="31"/>
        <v>0.09</v>
      </c>
      <c r="K83" s="212" t="str">
        <f t="shared" si="31"/>
        <v>m</v>
      </c>
      <c r="L83" s="212" t="str">
        <f t="shared" si="31"/>
        <v>bWidth</v>
      </c>
    </row>
    <row r="84" spans="2:15" x14ac:dyDescent="0.25">
      <c r="B84" s="220" t="s">
        <v>231</v>
      </c>
      <c r="I84" s="212" t="str">
        <f t="shared" si="31"/>
        <v>Length of bracing</v>
      </c>
      <c r="J84" s="212">
        <f t="shared" si="31"/>
        <v>0.09</v>
      </c>
      <c r="K84" s="212" t="str">
        <f t="shared" si="31"/>
        <v>m</v>
      </c>
      <c r="L84" s="212" t="str">
        <f t="shared" si="31"/>
        <v>bLength</v>
      </c>
    </row>
    <row r="85" spans="2:15" x14ac:dyDescent="0.25">
      <c r="B85" t="s">
        <v>33</v>
      </c>
      <c r="C85">
        <f>VLOOKUP(Automation_Steel_Superstructure!$C$2,Steel_Superstructure_IFC!$A$10:$CI$57,83)</f>
        <v>0.72499999999999998</v>
      </c>
      <c r="D85" s="212" t="s">
        <v>63</v>
      </c>
      <c r="E85" s="212" t="s">
        <v>232</v>
      </c>
      <c r="I85" s="212" t="str">
        <f t="shared" si="31"/>
        <v>Thickness of bracing</v>
      </c>
      <c r="J85" s="212">
        <f t="shared" si="31"/>
        <v>0.01</v>
      </c>
      <c r="K85" s="212" t="str">
        <f t="shared" si="31"/>
        <v>m</v>
      </c>
      <c r="L85" s="212" t="str">
        <f t="shared" si="31"/>
        <v>bthickness</v>
      </c>
    </row>
    <row r="86" spans="2:15" x14ac:dyDescent="0.25">
      <c r="B86" t="s">
        <v>51</v>
      </c>
      <c r="C86">
        <f>VLOOKUP(Automation_Steel_Superstructure!$C$2,Steel_Superstructure_IFC!$A$10:$CI$57,84)</f>
        <v>1.4</v>
      </c>
      <c r="D86" s="212" t="s">
        <v>63</v>
      </c>
      <c r="E86" s="212" t="s">
        <v>233</v>
      </c>
      <c r="I86" s="212"/>
      <c r="J86" s="212"/>
      <c r="K86" s="212"/>
      <c r="L86" s="212"/>
    </row>
    <row r="87" spans="2:15" x14ac:dyDescent="0.25">
      <c r="B87" t="s">
        <v>52</v>
      </c>
      <c r="C87">
        <f>VLOOKUP(Automation_Steel_Superstructure!$C$2,Steel_Superstructure_IFC!$A$10:$CI$57,85)</f>
        <v>2</v>
      </c>
      <c r="D87" s="212" t="s">
        <v>63</v>
      </c>
      <c r="E87" s="212" t="s">
        <v>234</v>
      </c>
      <c r="I87" s="220" t="str">
        <f>B38</f>
        <v>Support portion girder properties</v>
      </c>
      <c r="J87" s="220"/>
      <c r="K87" s="220"/>
      <c r="L87" s="220"/>
    </row>
    <row r="88" spans="2:15" x14ac:dyDescent="0.25">
      <c r="B88" t="s">
        <v>43</v>
      </c>
      <c r="C88">
        <f>VLOOKUP(Automation_Steel_Superstructure!$C$2,Steel_Superstructure_IFC!$A$10:$CI$57,86)</f>
        <v>3.63</v>
      </c>
      <c r="D88" s="212" t="s">
        <v>63</v>
      </c>
      <c r="E88" s="212" t="s">
        <v>235</v>
      </c>
      <c r="I88" s="212" t="str">
        <f t="shared" ref="I88:K93" si="32">I18</f>
        <v>Top Flange Width</v>
      </c>
      <c r="J88" s="212">
        <f t="shared" si="32"/>
        <v>0.42499999999999999</v>
      </c>
      <c r="K88" s="212" t="str">
        <f t="shared" si="32"/>
        <v>m</v>
      </c>
      <c r="L88" s="212" t="s">
        <v>241</v>
      </c>
    </row>
    <row r="89" spans="2:15" x14ac:dyDescent="0.25">
      <c r="B89" t="str">
        <f>Steel_Superstructure_IFC!CD6</f>
        <v>Mid Depth</v>
      </c>
      <c r="C89">
        <f>VLOOKUP(Automation_Steel_Superstructure!$C$2,Steel_Superstructure_IFC!$A$10:$CI$57,81)</f>
        <v>1.325</v>
      </c>
      <c r="D89" s="212" t="s">
        <v>63</v>
      </c>
      <c r="I89" s="212" t="str">
        <f t="shared" si="32"/>
        <v>Top Flange Thickness</v>
      </c>
      <c r="J89" s="212">
        <f t="shared" si="32"/>
        <v>2.1999999999999999E-2</v>
      </c>
      <c r="K89" s="212" t="str">
        <f t="shared" si="32"/>
        <v>m</v>
      </c>
      <c r="L89" t="s">
        <v>242</v>
      </c>
    </row>
    <row r="90" spans="2:15" x14ac:dyDescent="0.25">
      <c r="B90" t="str">
        <f>Steel_Superstructure_IFC!CE6</f>
        <v>End depth</v>
      </c>
      <c r="C90">
        <f>VLOOKUP(Automation_Steel_Superstructure!$C$2,Steel_Superstructure_IFC!$A$10:$CI$57,82)</f>
        <v>1.45</v>
      </c>
      <c r="D90" s="212" t="s">
        <v>63</v>
      </c>
      <c r="I90" s="212" t="str">
        <f t="shared" si="32"/>
        <v>Web Depth</v>
      </c>
      <c r="J90" s="212">
        <f t="shared" si="32"/>
        <v>1</v>
      </c>
      <c r="K90" s="212" t="str">
        <f t="shared" si="32"/>
        <v>m</v>
      </c>
      <c r="L90" t="s">
        <v>243</v>
      </c>
    </row>
    <row r="91" spans="2:15" x14ac:dyDescent="0.25">
      <c r="I91" s="212" t="str">
        <f t="shared" si="32"/>
        <v>Web Thickness</v>
      </c>
      <c r="J91" s="212">
        <f t="shared" si="32"/>
        <v>0.01</v>
      </c>
      <c r="K91" s="212" t="str">
        <f t="shared" si="32"/>
        <v>m</v>
      </c>
      <c r="L91" t="s">
        <v>244</v>
      </c>
    </row>
    <row r="92" spans="2:15" x14ac:dyDescent="0.25">
      <c r="B92" s="224" t="s">
        <v>247</v>
      </c>
      <c r="I92" s="212" t="str">
        <f t="shared" si="32"/>
        <v>Bottom Flange Width</v>
      </c>
      <c r="J92" s="212">
        <f t="shared" si="32"/>
        <v>0.5</v>
      </c>
      <c r="K92" s="212" t="str">
        <f t="shared" si="32"/>
        <v>m</v>
      </c>
      <c r="L92" t="s">
        <v>245</v>
      </c>
    </row>
    <row r="93" spans="2:15" x14ac:dyDescent="0.25">
      <c r="B93" s="224" t="s">
        <v>249</v>
      </c>
      <c r="I93" s="212" t="str">
        <f t="shared" si="32"/>
        <v>Bottom Flange Thickness</v>
      </c>
      <c r="J93" s="212" t="str">
        <f t="shared" si="32"/>
        <v>S</v>
      </c>
      <c r="K93" s="212" t="str">
        <f t="shared" si="32"/>
        <v>m</v>
      </c>
      <c r="L93" t="s">
        <v>245</v>
      </c>
    </row>
    <row r="94" spans="2:15" x14ac:dyDescent="0.25">
      <c r="B94" s="224" t="s">
        <v>250</v>
      </c>
      <c r="I94" s="220" t="str">
        <f>B47</f>
        <v>End diaphragm properties</v>
      </c>
      <c r="J94" s="212"/>
      <c r="K94" s="212"/>
      <c r="L94" s="212"/>
    </row>
    <row r="95" spans="2:15" x14ac:dyDescent="0.25">
      <c r="B95" s="224" t="s">
        <v>248</v>
      </c>
      <c r="I95" s="212"/>
      <c r="J95" s="212"/>
      <c r="K95" s="212"/>
      <c r="L95" s="212"/>
    </row>
    <row r="96" spans="2:15" ht="13.8" thickBot="1" x14ac:dyDescent="0.3">
      <c r="B96" s="224" t="s">
        <v>251</v>
      </c>
      <c r="I96" s="212" t="str">
        <f t="shared" ref="I96:L97" si="33">B49</f>
        <v>Top Flange Thickness</v>
      </c>
      <c r="J96" s="212">
        <f t="shared" si="33"/>
        <v>0.42499999999999999</v>
      </c>
      <c r="K96" s="212" t="str">
        <f t="shared" si="33"/>
        <v>m</v>
      </c>
      <c r="L96" s="212" t="str">
        <f t="shared" si="33"/>
        <v>gTopTEndDiaph</v>
      </c>
    </row>
    <row r="97" spans="2:17" ht="27" thickBot="1" x14ac:dyDescent="0.3">
      <c r="B97" s="224" t="s">
        <v>252</v>
      </c>
      <c r="I97" s="212" t="str">
        <f t="shared" si="33"/>
        <v>Web Depth</v>
      </c>
      <c r="J97" s="212">
        <f t="shared" si="33"/>
        <v>2.1999999999999999E-2</v>
      </c>
      <c r="K97" s="212" t="str">
        <f t="shared" si="33"/>
        <v>m</v>
      </c>
      <c r="L97" s="212" t="str">
        <f t="shared" si="33"/>
        <v>gWebDEndDiaph</v>
      </c>
      <c r="P97" s="210" t="str">
        <f>I97</f>
        <v>Web Depth</v>
      </c>
      <c r="Q97">
        <v>17</v>
      </c>
    </row>
    <row r="98" spans="2:17" ht="13.8" thickBot="1" x14ac:dyDescent="0.3">
      <c r="I98" s="212"/>
      <c r="J98" s="212"/>
      <c r="K98" s="212"/>
      <c r="L98" s="212"/>
      <c r="P98" s="210">
        <f>I98</f>
        <v>0</v>
      </c>
    </row>
    <row r="99" spans="2:17" ht="13.8" thickBot="1" x14ac:dyDescent="0.3">
      <c r="I99" s="212"/>
      <c r="J99" s="212"/>
      <c r="K99" s="212"/>
      <c r="L99" s="212"/>
      <c r="P99" s="210">
        <f>I99</f>
        <v>0</v>
      </c>
    </row>
    <row r="100" spans="2:17" ht="53.4" thickBot="1" x14ac:dyDescent="0.3">
      <c r="I100" s="212" t="str">
        <f>B53</f>
        <v>Bottom Flange Thickness</v>
      </c>
      <c r="J100" s="212">
        <f>C53</f>
        <v>0.5</v>
      </c>
      <c r="K100" s="212" t="str">
        <f>D53</f>
        <v>m</v>
      </c>
      <c r="L100" s="212" t="str">
        <f>E53</f>
        <v>gBotTEndDiaph</v>
      </c>
      <c r="P100" s="210" t="str">
        <f>I100</f>
        <v>Bottom Flange Thickness</v>
      </c>
    </row>
    <row r="101" spans="2:17" ht="13.8" thickBot="1" x14ac:dyDescent="0.3">
      <c r="I101" s="212"/>
      <c r="J101" s="212"/>
      <c r="K101" s="212"/>
      <c r="L101" s="212"/>
      <c r="P101" s="210">
        <f>I101</f>
        <v>0</v>
      </c>
    </row>
    <row r="102" spans="2:17" x14ac:dyDescent="0.25">
      <c r="I102" s="220"/>
      <c r="J102" s="212"/>
      <c r="K102" s="212"/>
      <c r="L102" s="212"/>
    </row>
    <row r="103" spans="2:17" x14ac:dyDescent="0.25">
      <c r="I103" s="220" t="str">
        <f t="shared" ref="I103:I110" si="34">I24</f>
        <v>Transverse Stiffeners [per one side of the girder]</v>
      </c>
      <c r="J103" s="212"/>
      <c r="K103" s="212"/>
      <c r="L103" s="212"/>
    </row>
    <row r="104" spans="2:17" x14ac:dyDescent="0.25">
      <c r="I104" s="212" t="str">
        <f t="shared" si="34"/>
        <v>Width</v>
      </c>
      <c r="J104" s="212">
        <f t="shared" ref="J104:L106" si="35">J25</f>
        <v>0.2</v>
      </c>
      <c r="K104" s="212" t="str">
        <f t="shared" si="35"/>
        <v>m</v>
      </c>
      <c r="L104" s="212" t="str">
        <f t="shared" si="35"/>
        <v>sTransW</v>
      </c>
    </row>
    <row r="105" spans="2:17" x14ac:dyDescent="0.25">
      <c r="I105" s="212" t="str">
        <f t="shared" si="34"/>
        <v>Thickness</v>
      </c>
      <c r="J105" s="212">
        <f t="shared" si="35"/>
        <v>8.0000000000000002E-3</v>
      </c>
      <c r="K105" s="212" t="str">
        <f t="shared" si="35"/>
        <v>m</v>
      </c>
      <c r="L105" s="212" t="str">
        <f t="shared" si="35"/>
        <v>sTransT</v>
      </c>
    </row>
    <row r="106" spans="2:17" x14ac:dyDescent="0.25">
      <c r="I106" s="212" t="str">
        <f t="shared" si="34"/>
        <v>Spacing</v>
      </c>
      <c r="J106" s="212">
        <f t="shared" si="35"/>
        <v>1.5</v>
      </c>
      <c r="K106" s="212" t="str">
        <f t="shared" si="35"/>
        <v>m</v>
      </c>
      <c r="L106" s="212" t="str">
        <f t="shared" si="35"/>
        <v>sTransS</v>
      </c>
    </row>
    <row r="107" spans="2:17" x14ac:dyDescent="0.25">
      <c r="I107" s="220" t="str">
        <f t="shared" si="34"/>
        <v>Bearing Stiffners [per one side of the girder]</v>
      </c>
      <c r="J107" s="212"/>
      <c r="K107" s="212"/>
      <c r="L107" s="212"/>
    </row>
    <row r="108" spans="2:17" x14ac:dyDescent="0.25">
      <c r="I108" s="212" t="str">
        <f t="shared" si="34"/>
        <v xml:space="preserve">Width </v>
      </c>
      <c r="J108" s="212">
        <f t="shared" ref="J108:L110" si="36">J29</f>
        <v>0.2</v>
      </c>
      <c r="K108" s="212" t="str">
        <f t="shared" si="36"/>
        <v>m</v>
      </c>
      <c r="L108" s="212" t="str">
        <f t="shared" si="36"/>
        <v>sBearW</v>
      </c>
    </row>
    <row r="109" spans="2:17" x14ac:dyDescent="0.25">
      <c r="I109" s="212" t="str">
        <f t="shared" si="34"/>
        <v>Thickness</v>
      </c>
      <c r="J109" s="212">
        <f t="shared" si="36"/>
        <v>8.0000000000000002E-3</v>
      </c>
      <c r="K109" s="212" t="str">
        <f t="shared" si="36"/>
        <v>m</v>
      </c>
      <c r="L109" s="212" t="str">
        <f t="shared" si="36"/>
        <v>sBearT</v>
      </c>
    </row>
    <row r="110" spans="2:17" x14ac:dyDescent="0.25">
      <c r="I110" s="212" t="str">
        <f t="shared" si="34"/>
        <v>Spacing</v>
      </c>
      <c r="J110" s="212">
        <f t="shared" si="36"/>
        <v>0.15</v>
      </c>
      <c r="K110" s="212" t="str">
        <f t="shared" si="36"/>
        <v>m</v>
      </c>
      <c r="L110" s="212" t="str">
        <f t="shared" si="36"/>
        <v>sBearS</v>
      </c>
    </row>
    <row r="111" spans="2:17" x14ac:dyDescent="0.25">
      <c r="I111" s="212"/>
      <c r="J111" s="212"/>
      <c r="K111" s="212"/>
      <c r="L111" s="212"/>
    </row>
    <row r="113" spans="9:12" x14ac:dyDescent="0.25">
      <c r="I113" s="224" t="s">
        <v>210</v>
      </c>
    </row>
    <row r="114" spans="9:12" x14ac:dyDescent="0.25">
      <c r="I114" s="220" t="str">
        <f>B3</f>
        <v>Parameter description</v>
      </c>
      <c r="J114" s="220"/>
      <c r="K114" s="220"/>
      <c r="L114" s="220" t="str">
        <f>E3</f>
        <v>VBA Variable Name</v>
      </c>
    </row>
    <row r="115" spans="9:12" x14ac:dyDescent="0.25">
      <c r="I115" t="str">
        <f>B4</f>
        <v>General details</v>
      </c>
      <c r="J115"/>
      <c r="K115"/>
    </row>
    <row r="116" spans="9:12" x14ac:dyDescent="0.25">
      <c r="I116" t="str">
        <f t="shared" ref="I116:L117" si="37">B6</f>
        <v>Total Span of bridge deck</v>
      </c>
      <c r="J116">
        <f t="shared" si="37"/>
        <v>20</v>
      </c>
      <c r="K116" t="str">
        <f t="shared" si="37"/>
        <v>m</v>
      </c>
      <c r="L116" t="str">
        <f t="shared" si="37"/>
        <v>deckSpan</v>
      </c>
    </row>
    <row r="117" spans="9:12" x14ac:dyDescent="0.25">
      <c r="I117" t="str">
        <f t="shared" si="37"/>
        <v>Deck Slab Thickness</v>
      </c>
      <c r="J117">
        <f t="shared" si="37"/>
        <v>0.23</v>
      </c>
      <c r="K117" t="str">
        <f t="shared" si="37"/>
        <v>m</v>
      </c>
      <c r="L117" t="str">
        <f t="shared" si="37"/>
        <v>slabThk</v>
      </c>
    </row>
    <row r="119" spans="9:12" x14ac:dyDescent="0.25">
      <c r="I119" s="220" t="str">
        <f t="shared" ref="I119:I125" si="38">B12</f>
        <v>Bracing properties.</v>
      </c>
      <c r="J119"/>
      <c r="K119"/>
    </row>
    <row r="120" spans="9:12" x14ac:dyDescent="0.25">
      <c r="I120" t="str">
        <f t="shared" si="38"/>
        <v>Spacing between bracings</v>
      </c>
      <c r="J120">
        <f t="shared" ref="J120:L125" si="39">C13</f>
        <v>4</v>
      </c>
      <c r="K120" t="str">
        <f t="shared" si="39"/>
        <v>m</v>
      </c>
      <c r="L120" t="str">
        <f t="shared" si="39"/>
        <v>bSpacing</v>
      </c>
    </row>
    <row r="121" spans="9:12" x14ac:dyDescent="0.25">
      <c r="I121" t="str">
        <f t="shared" si="38"/>
        <v>No. of cross-bracings</v>
      </c>
      <c r="J121">
        <f t="shared" si="39"/>
        <v>6</v>
      </c>
      <c r="K121">
        <f t="shared" si="39"/>
        <v>0</v>
      </c>
      <c r="L121" t="str">
        <f t="shared" si="39"/>
        <v>bNos</v>
      </c>
    </row>
    <row r="122" spans="9:12" x14ac:dyDescent="0.25">
      <c r="I122" t="str">
        <f t="shared" si="38"/>
        <v>bracing Section</v>
      </c>
      <c r="J122" t="str">
        <f t="shared" si="39"/>
        <v>90 x 90 x 10</v>
      </c>
      <c r="K122">
        <f t="shared" si="39"/>
        <v>0</v>
      </c>
      <c r="L122" t="str">
        <f t="shared" si="39"/>
        <v>Section</v>
      </c>
    </row>
    <row r="123" spans="9:12" x14ac:dyDescent="0.25">
      <c r="I123" t="str">
        <f t="shared" si="38"/>
        <v>Width of bracing</v>
      </c>
      <c r="J123">
        <f t="shared" si="39"/>
        <v>0.09</v>
      </c>
      <c r="K123" t="str">
        <f t="shared" si="39"/>
        <v>m</v>
      </c>
      <c r="L123" t="str">
        <f t="shared" si="39"/>
        <v>bWidth</v>
      </c>
    </row>
    <row r="124" spans="9:12" x14ac:dyDescent="0.25">
      <c r="I124" t="str">
        <f t="shared" si="38"/>
        <v>Length of bracing</v>
      </c>
      <c r="J124">
        <f t="shared" si="39"/>
        <v>0.09</v>
      </c>
      <c r="K124" t="str">
        <f t="shared" si="39"/>
        <v>m</v>
      </c>
      <c r="L124" t="str">
        <f t="shared" si="39"/>
        <v>bLength</v>
      </c>
    </row>
    <row r="125" spans="9:12" x14ac:dyDescent="0.25">
      <c r="I125" t="str">
        <f t="shared" si="38"/>
        <v>Thickness of bracing</v>
      </c>
      <c r="J125">
        <f t="shared" si="39"/>
        <v>0.01</v>
      </c>
      <c r="K125" t="str">
        <f t="shared" si="39"/>
        <v>m</v>
      </c>
      <c r="L125" t="str">
        <f t="shared" si="39"/>
        <v>bthickness</v>
      </c>
    </row>
    <row r="127" spans="9:12" x14ac:dyDescent="0.25">
      <c r="I127" s="220" t="str">
        <f>B20</f>
        <v>Mid portion girder properties</v>
      </c>
      <c r="J127"/>
      <c r="K127"/>
    </row>
    <row r="128" spans="9:12" x14ac:dyDescent="0.25">
      <c r="J128"/>
      <c r="K128"/>
    </row>
    <row r="129" spans="9:12" x14ac:dyDescent="0.25">
      <c r="I129" t="str">
        <f t="shared" ref="I129:L130" si="40">B22</f>
        <v>Top Flange Thickness</v>
      </c>
      <c r="J129">
        <f t="shared" si="40"/>
        <v>2.1999999999999999E-2</v>
      </c>
      <c r="K129" t="str">
        <f t="shared" si="40"/>
        <v>m</v>
      </c>
      <c r="L129" t="str">
        <f t="shared" si="40"/>
        <v>gTopTMid</v>
      </c>
    </row>
    <row r="130" spans="9:12" x14ac:dyDescent="0.25">
      <c r="I130" t="str">
        <f t="shared" si="40"/>
        <v>Web Depth</v>
      </c>
      <c r="J130">
        <f t="shared" si="40"/>
        <v>1</v>
      </c>
      <c r="K130" t="str">
        <f t="shared" si="40"/>
        <v>m</v>
      </c>
      <c r="L130" t="str">
        <f t="shared" si="40"/>
        <v>gWebDMid</v>
      </c>
    </row>
    <row r="131" spans="9:12" x14ac:dyDescent="0.25">
      <c r="J131"/>
      <c r="K131"/>
    </row>
    <row r="132" spans="9:12" x14ac:dyDescent="0.25">
      <c r="J132"/>
      <c r="K132"/>
    </row>
    <row r="133" spans="9:12" x14ac:dyDescent="0.25">
      <c r="I133" t="str">
        <f t="shared" ref="I133:L134" si="41">B26</f>
        <v>Bottom Flange Thickness</v>
      </c>
      <c r="J133">
        <f t="shared" si="41"/>
        <v>2.8000000000000001E-2</v>
      </c>
      <c r="K133" t="str">
        <f t="shared" si="41"/>
        <v>m</v>
      </c>
      <c r="L133" t="str">
        <f t="shared" si="41"/>
        <v>gBotTMid</v>
      </c>
    </row>
    <row r="134" spans="9:12" x14ac:dyDescent="0.25">
      <c r="I134" t="str">
        <f t="shared" si="41"/>
        <v>Length of girder (mid portion)</v>
      </c>
      <c r="J134">
        <f t="shared" si="41"/>
        <v>8</v>
      </c>
      <c r="K134" t="str">
        <f t="shared" si="41"/>
        <v>m</v>
      </c>
      <c r="L134" t="str">
        <f t="shared" si="41"/>
        <v>gLengthMid</v>
      </c>
    </row>
    <row r="135" spans="9:12" x14ac:dyDescent="0.25">
      <c r="J135"/>
      <c r="K135"/>
    </row>
    <row r="136" spans="9:12" x14ac:dyDescent="0.25">
      <c r="I136" s="220" t="str">
        <f>B29</f>
        <v>Intermediate portion girder properties</v>
      </c>
      <c r="J136"/>
      <c r="K136"/>
    </row>
    <row r="137" spans="9:12" x14ac:dyDescent="0.25">
      <c r="J137"/>
      <c r="K137"/>
    </row>
    <row r="138" spans="9:12" x14ac:dyDescent="0.25">
      <c r="I138" t="str">
        <f t="shared" ref="I138:L139" si="42">B31</f>
        <v>Top Flange Thickness</v>
      </c>
      <c r="J138">
        <f t="shared" si="42"/>
        <v>0</v>
      </c>
      <c r="K138" t="str">
        <f t="shared" si="42"/>
        <v>m</v>
      </c>
      <c r="L138" t="str">
        <f t="shared" si="42"/>
        <v>gTopTInter</v>
      </c>
    </row>
    <row r="139" spans="9:12" x14ac:dyDescent="0.25">
      <c r="I139" t="str">
        <f t="shared" si="42"/>
        <v>Web Depth</v>
      </c>
      <c r="J139">
        <f t="shared" si="42"/>
        <v>0</v>
      </c>
      <c r="K139" t="str">
        <f t="shared" si="42"/>
        <v>m</v>
      </c>
      <c r="L139" t="str">
        <f t="shared" si="42"/>
        <v>gWebDInter</v>
      </c>
    </row>
    <row r="140" spans="9:12" x14ac:dyDescent="0.25">
      <c r="J140"/>
      <c r="K140"/>
    </row>
    <row r="141" spans="9:12" x14ac:dyDescent="0.25">
      <c r="J141"/>
      <c r="K141"/>
    </row>
    <row r="142" spans="9:12" x14ac:dyDescent="0.25">
      <c r="I142" t="str">
        <f t="shared" ref="I142:L143" si="43">B35</f>
        <v>Bottom Flange Thickness</v>
      </c>
      <c r="J142">
        <f t="shared" si="43"/>
        <v>0</v>
      </c>
      <c r="K142" t="str">
        <f t="shared" si="43"/>
        <v>m</v>
      </c>
      <c r="L142" t="str">
        <f t="shared" si="43"/>
        <v>gBotTInter</v>
      </c>
    </row>
    <row r="143" spans="9:12" x14ac:dyDescent="0.25">
      <c r="I143" t="str">
        <f t="shared" si="43"/>
        <v>Length of girder (Intermediate portion)</v>
      </c>
      <c r="J143">
        <f t="shared" si="43"/>
        <v>0</v>
      </c>
      <c r="K143" t="str">
        <f t="shared" si="43"/>
        <v>m</v>
      </c>
      <c r="L143" t="str">
        <f t="shared" si="43"/>
        <v>gLengthInter</v>
      </c>
    </row>
    <row r="144" spans="9:12" x14ac:dyDescent="0.25">
      <c r="J144"/>
      <c r="K144"/>
    </row>
    <row r="145" spans="9:12" x14ac:dyDescent="0.25">
      <c r="I145" s="220" t="str">
        <f>B38</f>
        <v>Support portion girder properties</v>
      </c>
      <c r="J145"/>
      <c r="K145"/>
    </row>
    <row r="146" spans="9:12" x14ac:dyDescent="0.25">
      <c r="J146"/>
      <c r="K146"/>
    </row>
    <row r="147" spans="9:12" x14ac:dyDescent="0.25">
      <c r="I147" t="str">
        <f t="shared" ref="I147:L148" si="44">B40</f>
        <v>Top Flange Thickness</v>
      </c>
      <c r="J147">
        <f t="shared" si="44"/>
        <v>1.7999999999999999E-2</v>
      </c>
      <c r="K147" t="str">
        <f t="shared" si="44"/>
        <v>m</v>
      </c>
      <c r="L147" t="str">
        <f t="shared" si="44"/>
        <v>gTopTSupport</v>
      </c>
    </row>
    <row r="148" spans="9:12" x14ac:dyDescent="0.25">
      <c r="I148" t="str">
        <f t="shared" si="44"/>
        <v>Web Depth</v>
      </c>
      <c r="J148">
        <f t="shared" si="44"/>
        <v>1.01</v>
      </c>
      <c r="K148" t="str">
        <f t="shared" si="44"/>
        <v>m</v>
      </c>
      <c r="L148" t="str">
        <f t="shared" si="44"/>
        <v>gWebDSupport</v>
      </c>
    </row>
    <row r="149" spans="9:12" x14ac:dyDescent="0.25">
      <c r="J149"/>
      <c r="K149"/>
    </row>
    <row r="150" spans="9:12" x14ac:dyDescent="0.25">
      <c r="J150"/>
      <c r="K150"/>
    </row>
    <row r="151" spans="9:12" x14ac:dyDescent="0.25">
      <c r="I151" t="str">
        <f t="shared" ref="I151:L152" si="45">B44</f>
        <v>Bottom Flange Thickness</v>
      </c>
      <c r="J151">
        <f t="shared" si="45"/>
        <v>2.1999999999999999E-2</v>
      </c>
      <c r="K151" t="str">
        <f t="shared" si="45"/>
        <v>m</v>
      </c>
      <c r="L151" t="str">
        <f t="shared" si="45"/>
        <v>gBotTSupport</v>
      </c>
    </row>
    <row r="152" spans="9:12" x14ac:dyDescent="0.25">
      <c r="I152" t="str">
        <f t="shared" si="45"/>
        <v>Length of girder (Support portion)</v>
      </c>
      <c r="J152">
        <f t="shared" si="45"/>
        <v>12</v>
      </c>
      <c r="K152" t="str">
        <f t="shared" si="45"/>
        <v>m</v>
      </c>
      <c r="L152" t="str">
        <f t="shared" si="45"/>
        <v>gLengthSupport</v>
      </c>
    </row>
    <row r="154" spans="9:12" x14ac:dyDescent="0.25">
      <c r="I154" s="220" t="str">
        <f t="shared" ref="I154:I161" si="46">B55</f>
        <v>Transverse Stiffeners [per one side of the girder]</v>
      </c>
      <c r="J154"/>
      <c r="K154"/>
    </row>
    <row r="155" spans="9:12" x14ac:dyDescent="0.25">
      <c r="I155" t="str">
        <f t="shared" si="46"/>
        <v>Width</v>
      </c>
      <c r="J155">
        <f t="shared" ref="J155:L157" si="47">C56</f>
        <v>0.2</v>
      </c>
      <c r="K155" t="str">
        <f t="shared" si="47"/>
        <v>m</v>
      </c>
      <c r="L155" t="str">
        <f t="shared" si="47"/>
        <v>sTransW</v>
      </c>
    </row>
    <row r="156" spans="9:12" x14ac:dyDescent="0.25">
      <c r="I156" t="str">
        <f t="shared" si="46"/>
        <v>Thickness</v>
      </c>
      <c r="J156">
        <f t="shared" si="47"/>
        <v>8.0000000000000002E-3</v>
      </c>
      <c r="K156" t="str">
        <f t="shared" si="47"/>
        <v>m</v>
      </c>
      <c r="L156" t="str">
        <f t="shared" si="47"/>
        <v>sTransT</v>
      </c>
    </row>
    <row r="157" spans="9:12" x14ac:dyDescent="0.25">
      <c r="I157" t="str">
        <f t="shared" si="46"/>
        <v>Spacing</v>
      </c>
      <c r="J157">
        <f t="shared" si="47"/>
        <v>1.5</v>
      </c>
      <c r="K157" t="str">
        <f t="shared" si="47"/>
        <v>m</v>
      </c>
      <c r="L157" t="str">
        <f t="shared" si="47"/>
        <v>sTransS</v>
      </c>
    </row>
    <row r="158" spans="9:12" x14ac:dyDescent="0.25">
      <c r="I158" s="220" t="str">
        <f t="shared" si="46"/>
        <v>Bearing Stiffners [per one side of the girder]</v>
      </c>
      <c r="J158"/>
      <c r="K158"/>
    </row>
    <row r="159" spans="9:12" x14ac:dyDescent="0.25">
      <c r="I159" t="str">
        <f t="shared" si="46"/>
        <v xml:space="preserve">Width </v>
      </c>
      <c r="J159">
        <f t="shared" ref="J159:L161" si="48">C60</f>
        <v>0.2</v>
      </c>
      <c r="K159" t="str">
        <f t="shared" si="48"/>
        <v>m</v>
      </c>
      <c r="L159" t="str">
        <f t="shared" si="48"/>
        <v>sBearW</v>
      </c>
    </row>
    <row r="160" spans="9:12" x14ac:dyDescent="0.25">
      <c r="I160" t="str">
        <f t="shared" si="46"/>
        <v>Thickness</v>
      </c>
      <c r="J160">
        <f t="shared" si="48"/>
        <v>8.0000000000000002E-3</v>
      </c>
      <c r="K160" t="str">
        <f t="shared" si="48"/>
        <v>m</v>
      </c>
      <c r="L160" t="str">
        <f t="shared" si="48"/>
        <v>sBearT</v>
      </c>
    </row>
    <row r="161" spans="9:12" x14ac:dyDescent="0.25">
      <c r="I161" t="str">
        <f t="shared" si="46"/>
        <v>Spacing</v>
      </c>
      <c r="J161">
        <f t="shared" si="48"/>
        <v>0.15</v>
      </c>
      <c r="K161" t="str">
        <f t="shared" si="48"/>
        <v>m</v>
      </c>
      <c r="L161" t="str">
        <f t="shared" si="48"/>
        <v>sBearS</v>
      </c>
    </row>
    <row r="162" spans="9:12" x14ac:dyDescent="0.25">
      <c r="J162"/>
      <c r="K162"/>
    </row>
    <row r="163" spans="9:12" x14ac:dyDescent="0.25">
      <c r="J163"/>
      <c r="K163"/>
    </row>
    <row r="164" spans="9:12" x14ac:dyDescent="0.25">
      <c r="I164" s="224" t="s">
        <v>236</v>
      </c>
      <c r="J164"/>
      <c r="K164"/>
    </row>
    <row r="165" spans="9:12" x14ac:dyDescent="0.25">
      <c r="J165"/>
      <c r="K165"/>
    </row>
    <row r="166" spans="9:12" x14ac:dyDescent="0.25">
      <c r="I166" s="220" t="str">
        <f>B66</f>
        <v>Pile</v>
      </c>
      <c r="J166"/>
      <c r="K166"/>
    </row>
    <row r="167" spans="9:12" x14ac:dyDescent="0.25">
      <c r="I167" t="str">
        <f>B67</f>
        <v>No of piles</v>
      </c>
      <c r="J167">
        <f>C67</f>
        <v>0</v>
      </c>
      <c r="K167"/>
      <c r="L167" t="str">
        <f>E67</f>
        <v>pileNo</v>
      </c>
    </row>
    <row r="168" spans="9:12" x14ac:dyDescent="0.25">
      <c r="I168" t="str">
        <f>B68</f>
        <v>Depth of piles</v>
      </c>
      <c r="J168">
        <f>C68</f>
        <v>4</v>
      </c>
      <c r="K168" t="str">
        <f>D68</f>
        <v>m</v>
      </c>
      <c r="L168" t="str">
        <f>E68</f>
        <v>pileDepth</v>
      </c>
    </row>
    <row r="169" spans="9:12" x14ac:dyDescent="0.25">
      <c r="I169" t="str">
        <f>B69</f>
        <v>Dia of piles</v>
      </c>
      <c r="J169">
        <f>C69</f>
        <v>10</v>
      </c>
      <c r="K169" t="str">
        <f>D69</f>
        <v>m</v>
      </c>
      <c r="L169" t="str">
        <f>E69</f>
        <v>pileDia</v>
      </c>
    </row>
    <row r="170" spans="9:12" x14ac:dyDescent="0.25">
      <c r="I170" t="str">
        <f>B70</f>
        <v>%of reinforcement</v>
      </c>
      <c r="J170">
        <f>C70</f>
        <v>0.75</v>
      </c>
      <c r="K170"/>
      <c r="L170" t="str">
        <f>E70</f>
        <v>pileReinf</v>
      </c>
    </row>
    <row r="171" spans="9:12" x14ac:dyDescent="0.25">
      <c r="J171"/>
      <c r="K171"/>
    </row>
    <row r="172" spans="9:12" x14ac:dyDescent="0.25">
      <c r="I172" s="220" t="str">
        <f t="shared" ref="I172:I178" si="49">B72</f>
        <v>Pile cap</v>
      </c>
      <c r="J172"/>
      <c r="K172"/>
    </row>
    <row r="173" spans="9:12" x14ac:dyDescent="0.25">
      <c r="I173" t="str">
        <f t="shared" si="49"/>
        <v>Pile cap depth</v>
      </c>
      <c r="J173">
        <f>C73</f>
        <v>8.0000000000000002E-3</v>
      </c>
      <c r="K173" t="str">
        <f>D73</f>
        <v>m</v>
      </c>
      <c r="L173" t="str">
        <f>E73</f>
        <v>pilecapDepth</v>
      </c>
    </row>
    <row r="174" spans="9:12" x14ac:dyDescent="0.25">
      <c r="I174" t="str">
        <f t="shared" si="49"/>
        <v>Pile cap dimensions</v>
      </c>
      <c r="J174">
        <f>C74</f>
        <v>1.05</v>
      </c>
      <c r="K174"/>
    </row>
    <row r="175" spans="9:12" x14ac:dyDescent="0.25">
      <c r="I175" t="str">
        <f t="shared" si="49"/>
        <v>Pile cap width</v>
      </c>
      <c r="J175" t="e">
        <f>C75</f>
        <v>#N/A</v>
      </c>
      <c r="K175" t="str">
        <f t="shared" ref="K175:L177" si="50">D75</f>
        <v>m</v>
      </c>
      <c r="L175" t="str">
        <f t="shared" si="50"/>
        <v>pilecapWidth</v>
      </c>
    </row>
    <row r="176" spans="9:12" x14ac:dyDescent="0.25">
      <c r="I176" t="str">
        <f t="shared" si="49"/>
        <v>Pile cap length</v>
      </c>
      <c r="J176" t="e">
        <f>C76</f>
        <v>#N/A</v>
      </c>
      <c r="K176" t="str">
        <f t="shared" si="50"/>
        <v>m</v>
      </c>
      <c r="L176" t="str">
        <f t="shared" si="50"/>
        <v>pilecapLength</v>
      </c>
    </row>
    <row r="177" spans="9:12" x14ac:dyDescent="0.25">
      <c r="I177" t="str">
        <f t="shared" si="49"/>
        <v>Depth of PCC</v>
      </c>
      <c r="J177" t="str">
        <f>C77</f>
        <v>3.8 X 3.8</v>
      </c>
      <c r="K177" t="str">
        <f t="shared" si="50"/>
        <v>m</v>
      </c>
      <c r="L177" t="str">
        <f t="shared" si="50"/>
        <v>pilecapPCC</v>
      </c>
    </row>
    <row r="178" spans="9:12" x14ac:dyDescent="0.25">
      <c r="I178" t="str">
        <f t="shared" si="49"/>
        <v>% of reinforcement</v>
      </c>
      <c r="J178">
        <f>C78</f>
        <v>0.1</v>
      </c>
      <c r="K178"/>
      <c r="L178" t="str">
        <f>E78</f>
        <v>pilcecapReinf</v>
      </c>
    </row>
    <row r="179" spans="9:12" x14ac:dyDescent="0.25">
      <c r="J179"/>
      <c r="K179"/>
    </row>
    <row r="180" spans="9:12" x14ac:dyDescent="0.25">
      <c r="I180" s="220" t="str">
        <f>B80</f>
        <v>Pier</v>
      </c>
      <c r="J180"/>
      <c r="K180"/>
    </row>
    <row r="181" spans="9:12" x14ac:dyDescent="0.25">
      <c r="I181" t="str">
        <f>B81</f>
        <v>Height of pier</v>
      </c>
      <c r="J181">
        <f t="shared" ref="J181:L182" si="51">C81</f>
        <v>0</v>
      </c>
      <c r="K181" t="str">
        <f t="shared" si="51"/>
        <v>m</v>
      </c>
      <c r="L181" t="str">
        <f t="shared" si="51"/>
        <v>pierHt</v>
      </c>
    </row>
    <row r="182" spans="9:12" x14ac:dyDescent="0.25">
      <c r="I182" t="str">
        <f>B82</f>
        <v>Diameter of pier</v>
      </c>
      <c r="J182">
        <f t="shared" si="51"/>
        <v>6</v>
      </c>
      <c r="K182" t="str">
        <f t="shared" si="51"/>
        <v>m</v>
      </c>
      <c r="L182" t="str">
        <f t="shared" si="51"/>
        <v>pierDia</v>
      </c>
    </row>
    <row r="183" spans="9:12" x14ac:dyDescent="0.25">
      <c r="J183"/>
      <c r="K183"/>
    </row>
    <row r="184" spans="9:12" x14ac:dyDescent="0.25">
      <c r="I184" s="220" t="str">
        <f>B84</f>
        <v xml:space="preserve">Pier cap </v>
      </c>
      <c r="J184" s="220"/>
      <c r="K184" s="220"/>
      <c r="L184" s="220"/>
    </row>
    <row r="185" spans="9:12" x14ac:dyDescent="0.25">
      <c r="I185" s="212" t="str">
        <f>B85</f>
        <v>Width</v>
      </c>
      <c r="J185" s="212">
        <f t="shared" ref="J185:L185" si="52">C85</f>
        <v>0.72499999999999998</v>
      </c>
      <c r="K185" s="212" t="str">
        <f t="shared" si="52"/>
        <v>m</v>
      </c>
      <c r="L185" s="212" t="str">
        <f t="shared" si="52"/>
        <v>piercapDepth</v>
      </c>
    </row>
    <row r="186" spans="9:12" x14ac:dyDescent="0.25">
      <c r="I186" s="212" t="str">
        <f t="shared" ref="I186:I187" si="53">B86</f>
        <v>Length of the mid section</v>
      </c>
      <c r="J186" s="212">
        <f t="shared" ref="J186:J187" si="54">C86</f>
        <v>1.4</v>
      </c>
      <c r="K186" s="212" t="str">
        <f t="shared" ref="K186:K189" si="55">D86</f>
        <v>m</v>
      </c>
      <c r="L186" s="212" t="str">
        <f t="shared" ref="L186:L187" si="56">E86</f>
        <v>piercapLengthMidsec</v>
      </c>
    </row>
    <row r="187" spans="9:12" x14ac:dyDescent="0.25">
      <c r="I187" s="212" t="str">
        <f t="shared" si="53"/>
        <v>Length of the taper section (one side)</v>
      </c>
      <c r="J187" s="212">
        <f t="shared" si="54"/>
        <v>2</v>
      </c>
      <c r="K187" s="212" t="str">
        <f t="shared" si="55"/>
        <v>m</v>
      </c>
      <c r="L187" s="212" t="str">
        <f t="shared" si="56"/>
        <v>piercapLengthtaper</v>
      </c>
    </row>
    <row r="188" spans="9:12" x14ac:dyDescent="0.25">
      <c r="I188" s="212" t="s">
        <v>253</v>
      </c>
      <c r="J188" s="212">
        <f>C89</f>
        <v>1.325</v>
      </c>
      <c r="K188" s="212" t="str">
        <f t="shared" si="55"/>
        <v>m</v>
      </c>
      <c r="L188" s="212"/>
    </row>
    <row r="189" spans="9:12" x14ac:dyDescent="0.25">
      <c r="I189" s="212" t="s">
        <v>50</v>
      </c>
      <c r="J189" s="212">
        <f>C90</f>
        <v>1.45</v>
      </c>
      <c r="K189" s="212" t="s">
        <v>63</v>
      </c>
      <c r="L189" s="212"/>
    </row>
    <row r="190" spans="9:12" x14ac:dyDescent="0.25">
      <c r="I190" s="212" t="str">
        <f>B88</f>
        <v>% of reinforcement</v>
      </c>
      <c r="J190" s="212">
        <f>C88</f>
        <v>3.63</v>
      </c>
      <c r="K190" s="212" t="str">
        <f>D88</f>
        <v>m</v>
      </c>
      <c r="L190" s="212" t="str">
        <f>E88</f>
        <v>piercapReinf</v>
      </c>
    </row>
    <row r="191" spans="9:12" x14ac:dyDescent="0.25">
      <c r="I191" s="212"/>
      <c r="J191" s="212">
        <v>0</v>
      </c>
      <c r="K191" s="212"/>
      <c r="L191" s="212"/>
    </row>
    <row r="192" spans="9:12" x14ac:dyDescent="0.25">
      <c r="I192" s="212"/>
      <c r="J192" s="212"/>
      <c r="K192" s="212"/>
      <c r="L192" s="212"/>
    </row>
    <row r="193" spans="9:60" x14ac:dyDescent="0.25">
      <c r="I193" s="220"/>
      <c r="J193" s="220"/>
      <c r="K193" s="220"/>
      <c r="L193" s="220"/>
      <c r="BH193" t="s">
        <v>254</v>
      </c>
    </row>
    <row r="194" spans="9:60" x14ac:dyDescent="0.25">
      <c r="I194" s="220"/>
      <c r="J194" s="220"/>
      <c r="K194" s="220"/>
      <c r="L194" s="220"/>
    </row>
    <row r="195" spans="9:60" x14ac:dyDescent="0.25">
      <c r="I195" s="220"/>
      <c r="J195" s="220"/>
      <c r="K195" s="220"/>
      <c r="L195" s="22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Steel_Superstructure_IFC</vt:lpstr>
      <vt:lpstr>Automation_Steel_Superstructure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Radhika Pajgade</dc:creator>
  <cp:lastModifiedBy>Radhika Pajgade</cp:lastModifiedBy>
  <dcterms:created xsi:type="dcterms:W3CDTF">2026-06-23T15:34:04Z</dcterms:created>
  <dcterms:modified xsi:type="dcterms:W3CDTF">2026-07-07T12:45:09Z</dcterms:modified>
</cp:coreProperties>
</file>